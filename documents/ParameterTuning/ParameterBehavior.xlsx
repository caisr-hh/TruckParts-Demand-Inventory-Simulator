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osou\PartDemand_Simulator\documents\ParameterTuning\"/>
    </mc:Choice>
  </mc:AlternateContent>
  <xr:revisionPtr revIDLastSave="0" documentId="13_ncr:1_{4D1E443F-5D8C-4ACD-A6E9-887BD47DF495}" xr6:coauthVersionLast="47" xr6:coauthVersionMax="47" xr10:uidLastSave="{00000000-0000-0000-0000-000000000000}"/>
  <bookViews>
    <workbookView xWindow="-98" yWindow="-98" windowWidth="21795" windowHeight="12975" firstSheet="2" activeTab="5" xr2:uid="{00000000-000D-0000-FFFF-FFFF00000000}"/>
  </bookViews>
  <sheets>
    <sheet name="SIN" sheetId="1" r:id="rId1"/>
    <sheet name="ABSSIN" sheetId="2" r:id="rId2"/>
    <sheet name="ABSSIN_2PEAKS" sheetId="3" r:id="rId3"/>
    <sheet name="ABSSIN_1PEAK" sheetId="4" r:id="rId4"/>
    <sheet name="AFT" sheetId="5" r:id="rId5"/>
    <sheet name="AFT_2PEAKS" sheetId="6" r:id="rId6"/>
    <sheet name="AFT_1PEAK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F4" i="6"/>
  <c r="G4" i="6"/>
  <c r="H4" i="6"/>
  <c r="I4" i="6"/>
  <c r="E5" i="6"/>
  <c r="F5" i="6"/>
  <c r="G5" i="6"/>
  <c r="H5" i="6"/>
  <c r="I5" i="6"/>
  <c r="E6" i="6"/>
  <c r="F6" i="6"/>
  <c r="G6" i="6"/>
  <c r="H6" i="6"/>
  <c r="I6" i="6"/>
  <c r="E7" i="6"/>
  <c r="F7" i="6"/>
  <c r="G7" i="6"/>
  <c r="H7" i="6"/>
  <c r="I7" i="6"/>
  <c r="E8" i="6"/>
  <c r="F8" i="6"/>
  <c r="G8" i="6"/>
  <c r="H8" i="6"/>
  <c r="I8" i="6"/>
  <c r="E9" i="6"/>
  <c r="F9" i="6"/>
  <c r="G9" i="6"/>
  <c r="H9" i="6"/>
  <c r="I9" i="6"/>
  <c r="E10" i="6"/>
  <c r="F10" i="6"/>
  <c r="G10" i="6"/>
  <c r="H10" i="6"/>
  <c r="I10" i="6"/>
  <c r="E11" i="6"/>
  <c r="F11" i="6"/>
  <c r="G11" i="6"/>
  <c r="H11" i="6"/>
  <c r="I11" i="6"/>
  <c r="E12" i="6"/>
  <c r="F12" i="6"/>
  <c r="G12" i="6"/>
  <c r="H12" i="6"/>
  <c r="I12" i="6"/>
  <c r="E13" i="6"/>
  <c r="F13" i="6"/>
  <c r="G13" i="6"/>
  <c r="H13" i="6"/>
  <c r="I13" i="6"/>
  <c r="E14" i="6"/>
  <c r="F14" i="6"/>
  <c r="G14" i="6"/>
  <c r="H14" i="6"/>
  <c r="I14" i="6"/>
  <c r="I3" i="6"/>
  <c r="H3" i="6"/>
  <c r="G3" i="6"/>
  <c r="F3" i="6"/>
  <c r="E3" i="6"/>
  <c r="E4" i="7"/>
  <c r="F4" i="7"/>
  <c r="G4" i="7"/>
  <c r="H4" i="7"/>
  <c r="I4" i="7"/>
  <c r="J4" i="7"/>
  <c r="E5" i="7"/>
  <c r="F5" i="7"/>
  <c r="G5" i="7"/>
  <c r="H5" i="7"/>
  <c r="I5" i="7"/>
  <c r="J5" i="7"/>
  <c r="E6" i="7"/>
  <c r="F6" i="7"/>
  <c r="G6" i="7"/>
  <c r="H6" i="7"/>
  <c r="I6" i="7"/>
  <c r="J6" i="7"/>
  <c r="E7" i="7"/>
  <c r="F7" i="7"/>
  <c r="G7" i="7"/>
  <c r="H7" i="7"/>
  <c r="I7" i="7"/>
  <c r="J7" i="7"/>
  <c r="E8" i="7"/>
  <c r="F8" i="7"/>
  <c r="G8" i="7"/>
  <c r="H8" i="7"/>
  <c r="I8" i="7"/>
  <c r="J8" i="7"/>
  <c r="E9" i="7"/>
  <c r="F9" i="7"/>
  <c r="G9" i="7"/>
  <c r="H9" i="7"/>
  <c r="I9" i="7"/>
  <c r="J9" i="7"/>
  <c r="E10" i="7"/>
  <c r="F10" i="7"/>
  <c r="G10" i="7"/>
  <c r="H10" i="7"/>
  <c r="I10" i="7"/>
  <c r="J10" i="7"/>
  <c r="E11" i="7"/>
  <c r="F11" i="7"/>
  <c r="G11" i="7"/>
  <c r="H11" i="7"/>
  <c r="I11" i="7"/>
  <c r="J11" i="7"/>
  <c r="E12" i="7"/>
  <c r="F12" i="7"/>
  <c r="G12" i="7"/>
  <c r="H12" i="7"/>
  <c r="I12" i="7"/>
  <c r="J12" i="7"/>
  <c r="E13" i="7"/>
  <c r="F13" i="7"/>
  <c r="G13" i="7"/>
  <c r="H13" i="7"/>
  <c r="I13" i="7"/>
  <c r="J13" i="7"/>
  <c r="E14" i="7"/>
  <c r="F14" i="7"/>
  <c r="G14" i="7"/>
  <c r="H14" i="7"/>
  <c r="I14" i="7"/>
  <c r="J14" i="7"/>
  <c r="J3" i="7"/>
  <c r="I3" i="7"/>
  <c r="H3" i="7"/>
  <c r="G3" i="7"/>
  <c r="F3" i="7"/>
  <c r="E3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J9" i="5"/>
  <c r="H11" i="5"/>
  <c r="J11" i="5" s="1"/>
  <c r="H10" i="5"/>
  <c r="J10" i="5" s="1"/>
  <c r="H6" i="5"/>
  <c r="J6" i="5" s="1"/>
  <c r="H5" i="5"/>
  <c r="J5" i="5" s="1"/>
  <c r="J4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4" i="5"/>
  <c r="J4" i="4"/>
  <c r="J5" i="4"/>
  <c r="J6" i="4"/>
  <c r="J7" i="4"/>
  <c r="J8" i="4"/>
  <c r="J9" i="4"/>
  <c r="J10" i="4"/>
  <c r="J11" i="4"/>
  <c r="J12" i="4"/>
  <c r="J13" i="4"/>
  <c r="J14" i="4"/>
  <c r="J3" i="4"/>
  <c r="I3" i="4"/>
  <c r="H3" i="4"/>
  <c r="I4" i="4"/>
  <c r="I5" i="4"/>
  <c r="I6" i="4"/>
  <c r="I7" i="4"/>
  <c r="I8" i="4"/>
  <c r="I9" i="4"/>
  <c r="I10" i="4"/>
  <c r="I11" i="4"/>
  <c r="I12" i="4"/>
  <c r="I13" i="4"/>
  <c r="I14" i="4"/>
  <c r="H4" i="4"/>
  <c r="H5" i="4"/>
  <c r="H6" i="4"/>
  <c r="H7" i="4"/>
  <c r="H8" i="4"/>
  <c r="H9" i="4"/>
  <c r="H10" i="4"/>
  <c r="H11" i="4"/>
  <c r="H12" i="4"/>
  <c r="H13" i="4"/>
  <c r="H14" i="4"/>
  <c r="G4" i="4"/>
  <c r="G5" i="4"/>
  <c r="G6" i="4"/>
  <c r="G7" i="4"/>
  <c r="G8" i="4"/>
  <c r="G9" i="4"/>
  <c r="G10" i="4"/>
  <c r="G11" i="4"/>
  <c r="G12" i="4"/>
  <c r="G13" i="4"/>
  <c r="G14" i="4"/>
  <c r="G3" i="4"/>
  <c r="F4" i="4"/>
  <c r="F5" i="4"/>
  <c r="F6" i="4"/>
  <c r="F7" i="4"/>
  <c r="F8" i="4"/>
  <c r="F9" i="4"/>
  <c r="F10" i="4"/>
  <c r="F11" i="4"/>
  <c r="F12" i="4"/>
  <c r="F13" i="4"/>
  <c r="F14" i="4"/>
  <c r="F3" i="4"/>
  <c r="E4" i="4"/>
  <c r="E5" i="4"/>
  <c r="E6" i="4"/>
  <c r="E7" i="4"/>
  <c r="E8" i="4"/>
  <c r="E9" i="4"/>
  <c r="E10" i="4"/>
  <c r="E11" i="4"/>
  <c r="E12" i="4"/>
  <c r="E13" i="4"/>
  <c r="E14" i="4"/>
  <c r="E3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H4" i="3"/>
  <c r="H5" i="3"/>
  <c r="H6" i="3"/>
  <c r="H7" i="3"/>
  <c r="H8" i="3"/>
  <c r="H9" i="3"/>
  <c r="H10" i="3"/>
  <c r="H11" i="3"/>
  <c r="H12" i="3"/>
  <c r="H13" i="3"/>
  <c r="H14" i="3"/>
  <c r="H3" i="3"/>
  <c r="G4" i="3"/>
  <c r="G5" i="3"/>
  <c r="G6" i="3"/>
  <c r="G7" i="3"/>
  <c r="G8" i="3"/>
  <c r="G9" i="3"/>
  <c r="G10" i="3"/>
  <c r="G11" i="3"/>
  <c r="G12" i="3"/>
  <c r="G13" i="3"/>
  <c r="G14" i="3"/>
  <c r="G3" i="3"/>
  <c r="F4" i="3"/>
  <c r="F5" i="3"/>
  <c r="F6" i="3"/>
  <c r="F7" i="3"/>
  <c r="F8" i="3"/>
  <c r="F9" i="3"/>
  <c r="F10" i="3"/>
  <c r="F11" i="3"/>
  <c r="F12" i="3"/>
  <c r="F13" i="3"/>
  <c r="F14" i="3"/>
  <c r="F3" i="3"/>
  <c r="I4" i="3"/>
  <c r="I5" i="3"/>
  <c r="I6" i="3"/>
  <c r="I7" i="3"/>
  <c r="I8" i="3"/>
  <c r="I9" i="3"/>
  <c r="I10" i="3"/>
  <c r="I11" i="3"/>
  <c r="I12" i="3"/>
  <c r="I13" i="3"/>
  <c r="I14" i="3"/>
  <c r="I3" i="3"/>
  <c r="E4" i="3"/>
  <c r="E5" i="3"/>
  <c r="E6" i="3"/>
  <c r="E7" i="3"/>
  <c r="E8" i="3"/>
  <c r="E9" i="3"/>
  <c r="E10" i="3"/>
  <c r="E11" i="3"/>
  <c r="E12" i="3"/>
  <c r="E13" i="3"/>
  <c r="E14" i="3"/>
  <c r="E3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H4" i="2"/>
  <c r="H5" i="2"/>
  <c r="H6" i="2"/>
  <c r="H7" i="2"/>
  <c r="H8" i="2"/>
  <c r="H9" i="2"/>
  <c r="H10" i="2"/>
  <c r="H11" i="2"/>
  <c r="H12" i="2"/>
  <c r="H13" i="2"/>
  <c r="H14" i="2"/>
  <c r="H3" i="2"/>
  <c r="G4" i="2"/>
  <c r="G5" i="2"/>
  <c r="G6" i="2"/>
  <c r="G7" i="2"/>
  <c r="G8" i="2"/>
  <c r="G9" i="2"/>
  <c r="G10" i="2"/>
  <c r="G11" i="2"/>
  <c r="G12" i="2"/>
  <c r="G13" i="2"/>
  <c r="G14" i="2"/>
  <c r="G3" i="2"/>
  <c r="F4" i="2"/>
  <c r="F5" i="2"/>
  <c r="F6" i="2"/>
  <c r="F7" i="2"/>
  <c r="F8" i="2"/>
  <c r="F9" i="2"/>
  <c r="F10" i="2"/>
  <c r="F11" i="2"/>
  <c r="F12" i="2"/>
  <c r="F13" i="2"/>
  <c r="F14" i="2"/>
  <c r="F3" i="2"/>
  <c r="E4" i="2"/>
  <c r="E5" i="2"/>
  <c r="E6" i="2"/>
  <c r="E7" i="2"/>
  <c r="E8" i="2"/>
  <c r="E9" i="2"/>
  <c r="E10" i="2"/>
  <c r="E11" i="2"/>
  <c r="E12" i="2"/>
  <c r="E13" i="2"/>
  <c r="E14" i="2"/>
  <c r="E3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F3" i="1"/>
  <c r="F4" i="1"/>
  <c r="F5" i="1"/>
  <c r="F6" i="1"/>
  <c r="F7" i="1"/>
  <c r="F8" i="1"/>
  <c r="F9" i="1"/>
  <c r="F10" i="1"/>
  <c r="F11" i="1"/>
  <c r="F12" i="1"/>
  <c r="F13" i="1"/>
  <c r="F14" i="1"/>
  <c r="H4" i="1"/>
  <c r="H5" i="1"/>
  <c r="H6" i="1"/>
  <c r="H7" i="1"/>
  <c r="H8" i="1"/>
  <c r="H9" i="1"/>
  <c r="H10" i="1"/>
  <c r="H11" i="1"/>
  <c r="H12" i="1"/>
  <c r="H13" i="1"/>
  <c r="H14" i="1"/>
  <c r="H3" i="1"/>
  <c r="E4" i="1"/>
  <c r="E5" i="1"/>
  <c r="E6" i="1"/>
  <c r="E7" i="1"/>
  <c r="E8" i="1"/>
  <c r="E9" i="1"/>
  <c r="E10" i="1"/>
  <c r="E11" i="1"/>
  <c r="E12" i="1"/>
  <c r="E13" i="1"/>
  <c r="E14" i="1"/>
  <c r="E3" i="1"/>
  <c r="G3" i="1"/>
  <c r="G4" i="1"/>
  <c r="G5" i="1"/>
  <c r="G6" i="1"/>
  <c r="G7" i="1"/>
  <c r="G8" i="1"/>
  <c r="G9" i="1"/>
  <c r="G10" i="1"/>
  <c r="G11" i="1"/>
  <c r="G12" i="1"/>
  <c r="G13" i="1"/>
  <c r="G14" i="1"/>
  <c r="B4" i="1"/>
  <c r="B3" i="1"/>
  <c r="B2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</calcChain>
</file>

<file path=xl/sharedStrings.xml><?xml version="1.0" encoding="utf-8"?>
<sst xmlns="http://schemas.openxmlformats.org/spreadsheetml/2006/main" count="75" uniqueCount="23">
  <si>
    <t>EXP</t>
    <phoneticPr fontId="1"/>
  </si>
  <si>
    <t>T</t>
    <phoneticPr fontId="1"/>
  </si>
  <si>
    <t>M</t>
    <phoneticPr fontId="1"/>
  </si>
  <si>
    <t>SIN(2pim/12)</t>
    <phoneticPr fontId="1"/>
  </si>
  <si>
    <t>SIN(2pim/24)</t>
    <phoneticPr fontId="1"/>
  </si>
  <si>
    <t>SIN(2pim/3)</t>
    <phoneticPr fontId="1"/>
  </si>
  <si>
    <t>SIN(2pim/6)</t>
    <phoneticPr fontId="1"/>
  </si>
  <si>
    <t>φ=0</t>
    <phoneticPr fontId="1"/>
  </si>
  <si>
    <t>φ=6π/12</t>
    <phoneticPr fontId="1"/>
  </si>
  <si>
    <t>φ=π/3</t>
    <phoneticPr fontId="1"/>
  </si>
  <si>
    <t>φ=π/6</t>
    <phoneticPr fontId="1"/>
  </si>
  <si>
    <t>φ=-π/12</t>
    <phoneticPr fontId="1"/>
  </si>
  <si>
    <t>φ=-π/6</t>
    <phoneticPr fontId="1"/>
  </si>
  <si>
    <t>φ=-π/2</t>
    <phoneticPr fontId="1"/>
  </si>
  <si>
    <t>φ=5π/12</t>
    <phoneticPr fontId="1"/>
  </si>
  <si>
    <t>φ=3π/2</t>
    <phoneticPr fontId="1"/>
  </si>
  <si>
    <t>beta</t>
    <phoneticPr fontId="1"/>
  </si>
  <si>
    <t>● Specified range</t>
    <phoneticPr fontId="1"/>
  </si>
  <si>
    <t>Weibull</t>
    <phoneticPr fontId="1"/>
  </si>
  <si>
    <t>lambda</t>
    <phoneticPr fontId="1"/>
  </si>
  <si>
    <t>k</t>
    <phoneticPr fontId="1"/>
  </si>
  <si>
    <t>lifetime</t>
    <phoneticPr fontId="1"/>
  </si>
  <si>
    <t>Log-logistic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</si>
</sst>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-0.86602540378443837</c:v>
                </c:pt>
                <c:pt idx="2">
                  <c:v>-2.45029690981724E-16</c:v>
                </c:pt>
                <c:pt idx="3">
                  <c:v>0.86602540378443915</c:v>
                </c:pt>
                <c:pt idx="4">
                  <c:v>-0.86602540378443871</c:v>
                </c:pt>
                <c:pt idx="5">
                  <c:v>-4.90059381963448E-16</c:v>
                </c:pt>
                <c:pt idx="6">
                  <c:v>0.86602540378443926</c:v>
                </c:pt>
                <c:pt idx="7">
                  <c:v>-0.86602540378443771</c:v>
                </c:pt>
                <c:pt idx="8">
                  <c:v>-7.3508907294517201E-16</c:v>
                </c:pt>
                <c:pt idx="9">
                  <c:v>0.86602540378443849</c:v>
                </c:pt>
                <c:pt idx="10">
                  <c:v>-0.8660254037844376</c:v>
                </c:pt>
                <c:pt idx="11">
                  <c:v>-9.8011876392689601E-16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A-405C-B92D-46C23AACC4D1}"/>
            </c:ext>
          </c:extLst>
        </c:ser>
        <c:ser>
          <c:idx val="1"/>
          <c:order val="1"/>
          <c:tx>
            <c:strRef>
              <c:f>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-0.86602540378443837</c:v>
                </c:pt>
                <c:pt idx="4">
                  <c:v>-0.8660254037844386</c:v>
                </c:pt>
                <c:pt idx="5">
                  <c:v>-2.45029690981724E-16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-0.86602540378443871</c:v>
                </c:pt>
                <c:pt idx="10">
                  <c:v>-0.86602540378443915</c:v>
                </c:pt>
                <c:pt idx="1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AA-405C-B92D-46C23AACC4D1}"/>
            </c:ext>
          </c:extLst>
        </c:ser>
        <c:ser>
          <c:idx val="2"/>
          <c:order val="2"/>
          <c:tx>
            <c:strRef>
              <c:f>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-0.49999999999999972</c:v>
                </c:pt>
                <c:pt idx="7">
                  <c:v>-0.86602540378443837</c:v>
                </c:pt>
                <c:pt idx="8">
                  <c:v>-1</c:v>
                </c:pt>
                <c:pt idx="9">
                  <c:v>-0.8660254037844386</c:v>
                </c:pt>
                <c:pt idx="10">
                  <c:v>-0.50000000000000044</c:v>
                </c:pt>
                <c:pt idx="11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AA-405C-B92D-46C23AACC4D1}"/>
            </c:ext>
          </c:extLst>
        </c:ser>
        <c:ser>
          <c:idx val="3"/>
          <c:order val="3"/>
          <c:tx>
            <c:strRef>
              <c:f>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AA-405C-B92D-46C23AACC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-0.86602540378443837</c:v>
                </c:pt>
                <c:pt idx="2">
                  <c:v>-2.45029690981724E-16</c:v>
                </c:pt>
                <c:pt idx="3">
                  <c:v>0.86602540378443915</c:v>
                </c:pt>
                <c:pt idx="4">
                  <c:v>-0.86602540378443871</c:v>
                </c:pt>
                <c:pt idx="5">
                  <c:v>-4.90059381963448E-16</c:v>
                </c:pt>
                <c:pt idx="6">
                  <c:v>0.86602540378443926</c:v>
                </c:pt>
                <c:pt idx="7">
                  <c:v>-0.86602540378443771</c:v>
                </c:pt>
                <c:pt idx="8">
                  <c:v>-7.3508907294517201E-16</c:v>
                </c:pt>
                <c:pt idx="9">
                  <c:v>0.86602540378443849</c:v>
                </c:pt>
                <c:pt idx="10">
                  <c:v>-0.8660254037844376</c:v>
                </c:pt>
                <c:pt idx="11">
                  <c:v>-9.8011876392689601E-16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-0.86602540378443837</c:v>
                </c:pt>
                <c:pt idx="4">
                  <c:v>-0.8660254037844386</c:v>
                </c:pt>
                <c:pt idx="5">
                  <c:v>-2.45029690981724E-16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-0.86602540378443871</c:v>
                </c:pt>
                <c:pt idx="10">
                  <c:v>-0.86602540378443915</c:v>
                </c:pt>
                <c:pt idx="1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-0.49999999999999972</c:v>
                </c:pt>
                <c:pt idx="7">
                  <c:v>-0.86602540378443837</c:v>
                </c:pt>
                <c:pt idx="8">
                  <c:v>-1</c:v>
                </c:pt>
                <c:pt idx="9">
                  <c:v>-0.8660254037844386</c:v>
                </c:pt>
                <c:pt idx="10">
                  <c:v>-0.50000000000000044</c:v>
                </c:pt>
                <c:pt idx="11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0.86602540378443837</c:v>
                </c:pt>
                <c:pt idx="2">
                  <c:v>2.45029690981724E-16</c:v>
                </c:pt>
                <c:pt idx="3">
                  <c:v>0.86602540378443915</c:v>
                </c:pt>
                <c:pt idx="4">
                  <c:v>0.86602540378443871</c:v>
                </c:pt>
                <c:pt idx="5">
                  <c:v>4.90059381963448E-16</c:v>
                </c:pt>
                <c:pt idx="6">
                  <c:v>0.86602540378443926</c:v>
                </c:pt>
                <c:pt idx="7">
                  <c:v>0.86602540378443771</c:v>
                </c:pt>
                <c:pt idx="8">
                  <c:v>7.3508907294517201E-16</c:v>
                </c:pt>
                <c:pt idx="9">
                  <c:v>0.86602540378443849</c:v>
                </c:pt>
                <c:pt idx="10">
                  <c:v>0.8660254037844376</c:v>
                </c:pt>
                <c:pt idx="11">
                  <c:v>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AE-49C9-997A-03F70E7C3F55}"/>
            </c:ext>
          </c:extLst>
        </c:ser>
        <c:ser>
          <c:idx val="1"/>
          <c:order val="1"/>
          <c:tx>
            <c:strRef>
              <c:f>ABSSIN!$F$2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0.86602540378443837</c:v>
                </c:pt>
                <c:pt idx="4">
                  <c:v>0.8660254037844386</c:v>
                </c:pt>
                <c:pt idx="5">
                  <c:v>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0.86602540378443871</c:v>
                </c:pt>
                <c:pt idx="10">
                  <c:v>0.86602540378443915</c:v>
                </c:pt>
                <c:pt idx="11">
                  <c:v>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E-49C9-997A-03F70E7C3F55}"/>
            </c:ext>
          </c:extLst>
        </c:ser>
        <c:ser>
          <c:idx val="2"/>
          <c:order val="2"/>
          <c:tx>
            <c:strRef>
              <c:f>ABSSIN!$G$2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0.49999999999999972</c:v>
                </c:pt>
                <c:pt idx="7">
                  <c:v>0.86602540378443837</c:v>
                </c:pt>
                <c:pt idx="8">
                  <c:v>1</c:v>
                </c:pt>
                <c:pt idx="9">
                  <c:v>0.8660254037844386</c:v>
                </c:pt>
                <c:pt idx="10">
                  <c:v>0.50000000000000044</c:v>
                </c:pt>
                <c:pt idx="11">
                  <c:v>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AE-49C9-997A-03F70E7C3F55}"/>
            </c:ext>
          </c:extLst>
        </c:ser>
        <c:ser>
          <c:idx val="3"/>
          <c:order val="3"/>
          <c:tx>
            <c:strRef>
              <c:f>ABSSIN!$H$2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AE-49C9-997A-03F70E7C3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0.86602540378443837</c:v>
                </c:pt>
                <c:pt idx="2">
                  <c:v>2.45029690981724E-16</c:v>
                </c:pt>
                <c:pt idx="3">
                  <c:v>0.86602540378443915</c:v>
                </c:pt>
                <c:pt idx="4">
                  <c:v>0.86602540378443871</c:v>
                </c:pt>
                <c:pt idx="5">
                  <c:v>4.90059381963448E-16</c:v>
                </c:pt>
                <c:pt idx="6">
                  <c:v>0.86602540378443926</c:v>
                </c:pt>
                <c:pt idx="7">
                  <c:v>0.86602540378443771</c:v>
                </c:pt>
                <c:pt idx="8">
                  <c:v>7.3508907294517201E-16</c:v>
                </c:pt>
                <c:pt idx="9">
                  <c:v>0.86602540378443849</c:v>
                </c:pt>
                <c:pt idx="10">
                  <c:v>0.8660254037844376</c:v>
                </c:pt>
                <c:pt idx="11">
                  <c:v>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04-450B-A90F-77A0BC900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0.86602540378443837</c:v>
                </c:pt>
                <c:pt idx="4">
                  <c:v>0.8660254037844386</c:v>
                </c:pt>
                <c:pt idx="5">
                  <c:v>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0.86602540378443871</c:v>
                </c:pt>
                <c:pt idx="10">
                  <c:v>0.86602540378443915</c:v>
                </c:pt>
                <c:pt idx="11">
                  <c:v>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9D-4D74-9EE2-064A7F9A2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0.49999999999999972</c:v>
                </c:pt>
                <c:pt idx="7">
                  <c:v>0.86602540378443837</c:v>
                </c:pt>
                <c:pt idx="8">
                  <c:v>1</c:v>
                </c:pt>
                <c:pt idx="9">
                  <c:v>0.8660254037844386</c:v>
                </c:pt>
                <c:pt idx="10">
                  <c:v>0.50000000000000044</c:v>
                </c:pt>
                <c:pt idx="11">
                  <c:v>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58-46CA-ADFC-3683ABB66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52-401E-80E3-0117E3699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ABSSIN_2PEAKS!$E$1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ABSSIN_2PEAKS!$E$3:$E$14</c:f>
              <c:numCache>
                <c:formatCode>General</c:formatCode>
                <c:ptCount val="12"/>
                <c:pt idx="0">
                  <c:v>1.1000000000000001</c:v>
                </c:pt>
                <c:pt idx="1">
                  <c:v>1.1732050807568877</c:v>
                </c:pt>
                <c:pt idx="2">
                  <c:v>1.2</c:v>
                </c:pt>
                <c:pt idx="3">
                  <c:v>1.1732050807568877</c:v>
                </c:pt>
                <c:pt idx="4">
                  <c:v>1.1000000000000001</c:v>
                </c:pt>
                <c:pt idx="5">
                  <c:v>1</c:v>
                </c:pt>
                <c:pt idx="6">
                  <c:v>1.0999999999999999</c:v>
                </c:pt>
                <c:pt idx="7">
                  <c:v>1.1732050807568877</c:v>
                </c:pt>
                <c:pt idx="8">
                  <c:v>1.2</c:v>
                </c:pt>
                <c:pt idx="9">
                  <c:v>1.1732050807568877</c:v>
                </c:pt>
                <c:pt idx="10">
                  <c:v>1.1000000000000001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55-4BBE-A717-AC2EF302BA9F}"/>
            </c:ext>
          </c:extLst>
        </c:ser>
        <c:ser>
          <c:idx val="3"/>
          <c:order val="1"/>
          <c:tx>
            <c:strRef>
              <c:f>ABSSIN_2PEAKS!$I$2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ABSSIN_2PEAKS!$I$3:$I$14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1.1000000000000001</c:v>
                </c:pt>
                <c:pt idx="2">
                  <c:v>1.1414213562373094</c:v>
                </c:pt>
                <c:pt idx="3">
                  <c:v>1.1732050807568877</c:v>
                </c:pt>
                <c:pt idx="4">
                  <c:v>1.1931851652578136</c:v>
                </c:pt>
                <c:pt idx="5">
                  <c:v>1.2</c:v>
                </c:pt>
                <c:pt idx="6">
                  <c:v>1.1931851652578136</c:v>
                </c:pt>
                <c:pt idx="7">
                  <c:v>1.1732050807568877</c:v>
                </c:pt>
                <c:pt idx="8">
                  <c:v>1.1414213562373094</c:v>
                </c:pt>
                <c:pt idx="9">
                  <c:v>1.1000000000000001</c:v>
                </c:pt>
                <c:pt idx="10">
                  <c:v>1.0517638090205041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5-4BBE-A717-AC2EF302B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ABSSIN_2PEAKS!$E$3:$E$14</c:f>
              <c:numCache>
                <c:formatCode>General</c:formatCode>
                <c:ptCount val="12"/>
                <c:pt idx="0">
                  <c:v>1.1000000000000001</c:v>
                </c:pt>
                <c:pt idx="1">
                  <c:v>1.1732050807568877</c:v>
                </c:pt>
                <c:pt idx="2">
                  <c:v>1.2</c:v>
                </c:pt>
                <c:pt idx="3">
                  <c:v>1.1732050807568877</c:v>
                </c:pt>
                <c:pt idx="4">
                  <c:v>1.1000000000000001</c:v>
                </c:pt>
                <c:pt idx="5">
                  <c:v>1</c:v>
                </c:pt>
                <c:pt idx="6">
                  <c:v>1.0999999999999999</c:v>
                </c:pt>
                <c:pt idx="7">
                  <c:v>1.1732050807568877</c:v>
                </c:pt>
                <c:pt idx="8">
                  <c:v>1.2</c:v>
                </c:pt>
                <c:pt idx="9">
                  <c:v>1.1732050807568877</c:v>
                </c:pt>
                <c:pt idx="10">
                  <c:v>1.1000000000000001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ABSSIN_2PEAKS!$F$3:$F$14</c:f>
              <c:numCache>
                <c:formatCode>General</c:formatCode>
                <c:ptCount val="12"/>
                <c:pt idx="0">
                  <c:v>1.1732050807568877</c:v>
                </c:pt>
                <c:pt idx="1">
                  <c:v>1.1000000000000001</c:v>
                </c:pt>
                <c:pt idx="2">
                  <c:v>1</c:v>
                </c:pt>
                <c:pt idx="3">
                  <c:v>1.0999999999999999</c:v>
                </c:pt>
                <c:pt idx="4">
                  <c:v>1.1732050807568877</c:v>
                </c:pt>
                <c:pt idx="5">
                  <c:v>1.2</c:v>
                </c:pt>
                <c:pt idx="6">
                  <c:v>1.1732050807568879</c:v>
                </c:pt>
                <c:pt idx="7">
                  <c:v>1.1000000000000001</c:v>
                </c:pt>
                <c:pt idx="8">
                  <c:v>1</c:v>
                </c:pt>
                <c:pt idx="9">
                  <c:v>1.1000000000000001</c:v>
                </c:pt>
                <c:pt idx="10">
                  <c:v>1.1732050807568877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ABSSIN_2PEAKS!$G$3:$G$14</c:f>
              <c:numCache>
                <c:formatCode>General</c:formatCode>
                <c:ptCount val="12"/>
                <c:pt idx="0">
                  <c:v>1.2</c:v>
                </c:pt>
                <c:pt idx="1">
                  <c:v>1.1732050807568877</c:v>
                </c:pt>
                <c:pt idx="2">
                  <c:v>1.1000000000000001</c:v>
                </c:pt>
                <c:pt idx="3">
                  <c:v>1</c:v>
                </c:pt>
                <c:pt idx="4">
                  <c:v>1.1000000000000001</c:v>
                </c:pt>
                <c:pt idx="5">
                  <c:v>1.1732050807568877</c:v>
                </c:pt>
                <c:pt idx="6">
                  <c:v>1.2</c:v>
                </c:pt>
                <c:pt idx="7">
                  <c:v>1.1732050807568879</c:v>
                </c:pt>
                <c:pt idx="8">
                  <c:v>1.1000000000000001</c:v>
                </c:pt>
                <c:pt idx="9">
                  <c:v>1</c:v>
                </c:pt>
                <c:pt idx="10">
                  <c:v>1.0999999999999999</c:v>
                </c:pt>
                <c:pt idx="11">
                  <c:v>1.1732050807568877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ABSSIN_2PEAKS!$H$3:$H$14</c:f>
              <c:numCache>
                <c:formatCode>General</c:formatCode>
                <c:ptCount val="12"/>
                <c:pt idx="0">
                  <c:v>1.1732050807568877</c:v>
                </c:pt>
                <c:pt idx="1">
                  <c:v>1.2</c:v>
                </c:pt>
                <c:pt idx="2">
                  <c:v>1.1732050807568877</c:v>
                </c:pt>
                <c:pt idx="3">
                  <c:v>1.1000000000000001</c:v>
                </c:pt>
                <c:pt idx="4">
                  <c:v>1</c:v>
                </c:pt>
                <c:pt idx="5">
                  <c:v>1.0999999999999999</c:v>
                </c:pt>
                <c:pt idx="6">
                  <c:v>1.1732050807568877</c:v>
                </c:pt>
                <c:pt idx="7">
                  <c:v>1.2</c:v>
                </c:pt>
                <c:pt idx="8">
                  <c:v>1.1732050807568877</c:v>
                </c:pt>
                <c:pt idx="9">
                  <c:v>1.0999999999999999</c:v>
                </c:pt>
                <c:pt idx="10">
                  <c:v>1</c:v>
                </c:pt>
                <c:pt idx="1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ABSSIN_1PEAK!$E$3:$E$14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1.1000000000000001</c:v>
                </c:pt>
                <c:pt idx="2">
                  <c:v>1.1414213562373094</c:v>
                </c:pt>
                <c:pt idx="3">
                  <c:v>1.1732050807568877</c:v>
                </c:pt>
                <c:pt idx="4">
                  <c:v>1.1931851652578136</c:v>
                </c:pt>
                <c:pt idx="5">
                  <c:v>1.2</c:v>
                </c:pt>
                <c:pt idx="6">
                  <c:v>1.1931851652578136</c:v>
                </c:pt>
                <c:pt idx="7">
                  <c:v>1.1732050807568877</c:v>
                </c:pt>
                <c:pt idx="8">
                  <c:v>1.1414213562373094</c:v>
                </c:pt>
                <c:pt idx="9">
                  <c:v>1.1000000000000001</c:v>
                </c:pt>
                <c:pt idx="10">
                  <c:v>1.0517638090205041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3F-490A-826F-A74444A80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ABSSIN_1PEAK!$F$3:$F$14</c:f>
              <c:numCache>
                <c:formatCode>General</c:formatCode>
                <c:ptCount val="12"/>
                <c:pt idx="0">
                  <c:v>1</c:v>
                </c:pt>
                <c:pt idx="1">
                  <c:v>1.0517638090205041</c:v>
                </c:pt>
                <c:pt idx="2">
                  <c:v>1.1000000000000001</c:v>
                </c:pt>
                <c:pt idx="3">
                  <c:v>1.1414213562373094</c:v>
                </c:pt>
                <c:pt idx="4">
                  <c:v>1.1732050807568877</c:v>
                </c:pt>
                <c:pt idx="5">
                  <c:v>1.1931851652578136</c:v>
                </c:pt>
                <c:pt idx="6">
                  <c:v>1.2</c:v>
                </c:pt>
                <c:pt idx="7">
                  <c:v>1.1931851652578136</c:v>
                </c:pt>
                <c:pt idx="8">
                  <c:v>1.1732050807568877</c:v>
                </c:pt>
                <c:pt idx="9">
                  <c:v>1.1414213562373094</c:v>
                </c:pt>
                <c:pt idx="10">
                  <c:v>1.1000000000000001</c:v>
                </c:pt>
                <c:pt idx="11">
                  <c:v>1.0517638090205041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2D-435B-AE9B-0D93AB569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ABSSIN_1PEAK!$G$3:$G$14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</c:v>
                </c:pt>
                <c:pt idx="2">
                  <c:v>1.0517638090205041</c:v>
                </c:pt>
                <c:pt idx="3">
                  <c:v>1.1000000000000001</c:v>
                </c:pt>
                <c:pt idx="4">
                  <c:v>1.1414213562373094</c:v>
                </c:pt>
                <c:pt idx="5">
                  <c:v>1.1732050807568877</c:v>
                </c:pt>
                <c:pt idx="6">
                  <c:v>1.1931851652578136</c:v>
                </c:pt>
                <c:pt idx="7">
                  <c:v>1.2</c:v>
                </c:pt>
                <c:pt idx="8">
                  <c:v>1.1931851652578136</c:v>
                </c:pt>
                <c:pt idx="9">
                  <c:v>1.1732050807568877</c:v>
                </c:pt>
                <c:pt idx="10">
                  <c:v>1.1414213562373094</c:v>
                </c:pt>
                <c:pt idx="1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E2-4F31-8381-A46BA92C5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ABSSIN_1PEAK!$H$3:$H$14</c:f>
              <c:numCache>
                <c:formatCode>General</c:formatCode>
                <c:ptCount val="12"/>
                <c:pt idx="0">
                  <c:v>1.1931851652578136</c:v>
                </c:pt>
                <c:pt idx="1">
                  <c:v>1.1732050807568877</c:v>
                </c:pt>
                <c:pt idx="2">
                  <c:v>1.1414213562373094</c:v>
                </c:pt>
                <c:pt idx="3">
                  <c:v>1.1000000000000001</c:v>
                </c:pt>
                <c:pt idx="4">
                  <c:v>1.0517638090205041</c:v>
                </c:pt>
                <c:pt idx="5">
                  <c:v>1</c:v>
                </c:pt>
                <c:pt idx="6">
                  <c:v>1.0517638090205041</c:v>
                </c:pt>
                <c:pt idx="7">
                  <c:v>1.1000000000000001</c:v>
                </c:pt>
                <c:pt idx="8">
                  <c:v>1.1414213562373094</c:v>
                </c:pt>
                <c:pt idx="9">
                  <c:v>1.1732050807568877</c:v>
                </c:pt>
                <c:pt idx="10">
                  <c:v>1.1931851652578136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SIN(2pim/24+5pi/12)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ABSSIN_1PEAK!$I$1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ABSSIN_1PEAK!$I$3:$I$14</c:f>
              <c:numCache>
                <c:formatCode>General</c:formatCode>
                <c:ptCount val="12"/>
                <c:pt idx="0">
                  <c:v>1.2</c:v>
                </c:pt>
                <c:pt idx="1">
                  <c:v>1.1931851652578136</c:v>
                </c:pt>
                <c:pt idx="2">
                  <c:v>1.1732050807568877</c:v>
                </c:pt>
                <c:pt idx="3">
                  <c:v>1.1414213562373094</c:v>
                </c:pt>
                <c:pt idx="4">
                  <c:v>1.1000000000000001</c:v>
                </c:pt>
                <c:pt idx="5">
                  <c:v>1.0517638090205041</c:v>
                </c:pt>
                <c:pt idx="6">
                  <c:v>1</c:v>
                </c:pt>
                <c:pt idx="7">
                  <c:v>1.0517638090205041</c:v>
                </c:pt>
                <c:pt idx="8">
                  <c:v>1.1000000000000001</c:v>
                </c:pt>
                <c:pt idx="9">
                  <c:v>1.1414213562373094</c:v>
                </c:pt>
                <c:pt idx="10">
                  <c:v>1.1732050807568877</c:v>
                </c:pt>
                <c:pt idx="11">
                  <c:v>1.1931851652578136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SIN(2pim/24+3pi/2)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ABSSIN_1PEAK!$J$3:$J$14</c:f>
              <c:numCache>
                <c:formatCode>General</c:formatCode>
                <c:ptCount val="12"/>
                <c:pt idx="0">
                  <c:v>1.1931851652578136</c:v>
                </c:pt>
                <c:pt idx="1">
                  <c:v>1.1732050807568877</c:v>
                </c:pt>
                <c:pt idx="2">
                  <c:v>1.1414213562373094</c:v>
                </c:pt>
                <c:pt idx="3">
                  <c:v>1.1000000000000001</c:v>
                </c:pt>
                <c:pt idx="4">
                  <c:v>1.0517638090205041</c:v>
                </c:pt>
                <c:pt idx="5">
                  <c:v>1</c:v>
                </c:pt>
                <c:pt idx="6">
                  <c:v>1.0517638090205041</c:v>
                </c:pt>
                <c:pt idx="7">
                  <c:v>1.1000000000000001</c:v>
                </c:pt>
                <c:pt idx="8">
                  <c:v>1.1414213562373094</c:v>
                </c:pt>
                <c:pt idx="9">
                  <c:v>1.1732050807568877</c:v>
                </c:pt>
                <c:pt idx="10">
                  <c:v>1.1931851652578136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AFT_2PEAKS!$E$1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AFT_2PEAKS!$E$3:$E$14</c:f>
              <c:numCache>
                <c:formatCode>General</c:formatCode>
                <c:ptCount val="12"/>
                <c:pt idx="0">
                  <c:v>0.19999999999999998</c:v>
                </c:pt>
                <c:pt idx="1">
                  <c:v>0.34641016151377546</c:v>
                </c:pt>
                <c:pt idx="2">
                  <c:v>0.4</c:v>
                </c:pt>
                <c:pt idx="3">
                  <c:v>0.34641016151377552</c:v>
                </c:pt>
                <c:pt idx="4">
                  <c:v>0.19999999999999998</c:v>
                </c:pt>
                <c:pt idx="5">
                  <c:v>4.90059381963448E-17</c:v>
                </c:pt>
                <c:pt idx="6">
                  <c:v>0.1999999999999999</c:v>
                </c:pt>
                <c:pt idx="7">
                  <c:v>0.34641016151377535</c:v>
                </c:pt>
                <c:pt idx="8">
                  <c:v>0.4</c:v>
                </c:pt>
                <c:pt idx="9">
                  <c:v>0.34641016151377546</c:v>
                </c:pt>
                <c:pt idx="10">
                  <c:v>0.20000000000000018</c:v>
                </c:pt>
                <c:pt idx="11">
                  <c:v>9.8011876392689601E-17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10-4E63-8E8E-9D90C359BBA5}"/>
            </c:ext>
          </c:extLst>
        </c:ser>
        <c:ser>
          <c:idx val="3"/>
          <c:order val="1"/>
          <c:tx>
            <c:strRef>
              <c:f>AFT_2PEAKS!$I$2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AFT_2PEAKS!$I$3:$I$14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0.19999999999999998</c:v>
                </c:pt>
                <c:pt idx="2">
                  <c:v>0.28284271247461901</c:v>
                </c:pt>
                <c:pt idx="3">
                  <c:v>0.34641016151377546</c:v>
                </c:pt>
                <c:pt idx="4">
                  <c:v>0.38637033051562736</c:v>
                </c:pt>
                <c:pt idx="5">
                  <c:v>0.4</c:v>
                </c:pt>
                <c:pt idx="6">
                  <c:v>0.38637033051562736</c:v>
                </c:pt>
                <c:pt idx="7">
                  <c:v>0.34641016151377552</c:v>
                </c:pt>
                <c:pt idx="8">
                  <c:v>0.28284271247461906</c:v>
                </c:pt>
                <c:pt idx="9">
                  <c:v>0.19999999999999998</c:v>
                </c:pt>
                <c:pt idx="10">
                  <c:v>0.10352761804100841</c:v>
                </c:pt>
                <c:pt idx="11">
                  <c:v>4.90059381963448E-17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10-4E63-8E8E-9D90C359B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AFT_2PEAKS!$E$3:$E$14</c:f>
              <c:numCache>
                <c:formatCode>General</c:formatCode>
                <c:ptCount val="12"/>
                <c:pt idx="0">
                  <c:v>0.19999999999999998</c:v>
                </c:pt>
                <c:pt idx="1">
                  <c:v>0.34641016151377546</c:v>
                </c:pt>
                <c:pt idx="2">
                  <c:v>0.4</c:v>
                </c:pt>
                <c:pt idx="3">
                  <c:v>0.34641016151377552</c:v>
                </c:pt>
                <c:pt idx="4">
                  <c:v>0.19999999999999998</c:v>
                </c:pt>
                <c:pt idx="5">
                  <c:v>4.90059381963448E-17</c:v>
                </c:pt>
                <c:pt idx="6">
                  <c:v>0.1999999999999999</c:v>
                </c:pt>
                <c:pt idx="7">
                  <c:v>0.34641016151377535</c:v>
                </c:pt>
                <c:pt idx="8">
                  <c:v>0.4</c:v>
                </c:pt>
                <c:pt idx="9">
                  <c:v>0.34641016151377546</c:v>
                </c:pt>
                <c:pt idx="10">
                  <c:v>0.20000000000000018</c:v>
                </c:pt>
                <c:pt idx="11">
                  <c:v>9.8011876392689601E-17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E-44E5-8AB4-87C7F0344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AFT_2PEAKS!$F$3:$F$14</c:f>
              <c:numCache>
                <c:formatCode>General</c:formatCode>
                <c:ptCount val="12"/>
                <c:pt idx="0">
                  <c:v>0.34641016151377552</c:v>
                </c:pt>
                <c:pt idx="1">
                  <c:v>0.20000000000000015</c:v>
                </c:pt>
                <c:pt idx="2">
                  <c:v>4.90059381963448E-17</c:v>
                </c:pt>
                <c:pt idx="3">
                  <c:v>0.1999999999999999</c:v>
                </c:pt>
                <c:pt idx="4">
                  <c:v>0.34641016151377557</c:v>
                </c:pt>
                <c:pt idx="5">
                  <c:v>0.4</c:v>
                </c:pt>
                <c:pt idx="6">
                  <c:v>0.34641016151377563</c:v>
                </c:pt>
                <c:pt idx="7">
                  <c:v>0.20000000000000018</c:v>
                </c:pt>
                <c:pt idx="8">
                  <c:v>9.8011876392689601E-17</c:v>
                </c:pt>
                <c:pt idx="9">
                  <c:v>0.2</c:v>
                </c:pt>
                <c:pt idx="10">
                  <c:v>0.34641016151377535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A-4CE4-9A38-4EBB6F825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AFT_2PEAKS!$G$3:$G$14</c:f>
              <c:numCache>
                <c:formatCode>General</c:formatCode>
                <c:ptCount val="12"/>
                <c:pt idx="0">
                  <c:v>0.4</c:v>
                </c:pt>
                <c:pt idx="1">
                  <c:v>0.34641016151377552</c:v>
                </c:pt>
                <c:pt idx="2">
                  <c:v>0.20000000000000015</c:v>
                </c:pt>
                <c:pt idx="3">
                  <c:v>4.90059381963448E-17</c:v>
                </c:pt>
                <c:pt idx="4">
                  <c:v>0.20000000000000007</c:v>
                </c:pt>
                <c:pt idx="5">
                  <c:v>0.34641016151377535</c:v>
                </c:pt>
                <c:pt idx="6">
                  <c:v>0.4</c:v>
                </c:pt>
                <c:pt idx="7">
                  <c:v>0.34641016151377563</c:v>
                </c:pt>
                <c:pt idx="8">
                  <c:v>0.20000000000000018</c:v>
                </c:pt>
                <c:pt idx="9">
                  <c:v>9.8011876392689601E-17</c:v>
                </c:pt>
                <c:pt idx="10">
                  <c:v>0.19999999999999973</c:v>
                </c:pt>
                <c:pt idx="11">
                  <c:v>0.34641016151377535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80-43F3-8F32-5FCB0284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AFT_2PEAKS!$H$3:$H$14</c:f>
              <c:numCache>
                <c:formatCode>General</c:formatCode>
                <c:ptCount val="12"/>
                <c:pt idx="0">
                  <c:v>0.34641016151377546</c:v>
                </c:pt>
                <c:pt idx="1">
                  <c:v>0.4</c:v>
                </c:pt>
                <c:pt idx="2">
                  <c:v>0.34641016151377552</c:v>
                </c:pt>
                <c:pt idx="3">
                  <c:v>0.20000000000000015</c:v>
                </c:pt>
                <c:pt idx="4">
                  <c:v>4.90059381963448E-17</c:v>
                </c:pt>
                <c:pt idx="5">
                  <c:v>0.1999999999999999</c:v>
                </c:pt>
                <c:pt idx="6">
                  <c:v>0.34641016151377535</c:v>
                </c:pt>
                <c:pt idx="7">
                  <c:v>0.4</c:v>
                </c:pt>
                <c:pt idx="8">
                  <c:v>0.34641016151377546</c:v>
                </c:pt>
                <c:pt idx="9">
                  <c:v>0.19999999999999987</c:v>
                </c:pt>
                <c:pt idx="10">
                  <c:v>9.8011876392689601E-17</c:v>
                </c:pt>
                <c:pt idx="11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16-48BF-99AB-19C4C2212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AFT_1PEAK!$E$3:$E$14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0.19999999999999998</c:v>
                </c:pt>
                <c:pt idx="2">
                  <c:v>0.28284271247461901</c:v>
                </c:pt>
                <c:pt idx="3">
                  <c:v>0.34641016151377546</c:v>
                </c:pt>
                <c:pt idx="4">
                  <c:v>0.38637033051562736</c:v>
                </c:pt>
                <c:pt idx="5">
                  <c:v>0.4</c:v>
                </c:pt>
                <c:pt idx="6">
                  <c:v>0.38637033051562736</c:v>
                </c:pt>
                <c:pt idx="7">
                  <c:v>0.34641016151377552</c:v>
                </c:pt>
                <c:pt idx="8">
                  <c:v>0.28284271247461906</c:v>
                </c:pt>
                <c:pt idx="9">
                  <c:v>0.19999999999999998</c:v>
                </c:pt>
                <c:pt idx="10">
                  <c:v>0.10352761804100841</c:v>
                </c:pt>
                <c:pt idx="11">
                  <c:v>4.90059381963448E-17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69-4078-BF23-AAC11599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AFT_1PEAK!$F$3:$F$14</c:f>
              <c:numCache>
                <c:formatCode>General</c:formatCode>
                <c:ptCount val="12"/>
                <c:pt idx="0">
                  <c:v>0</c:v>
                </c:pt>
                <c:pt idx="1">
                  <c:v>0.1035276180410083</c:v>
                </c:pt>
                <c:pt idx="2">
                  <c:v>0.2</c:v>
                </c:pt>
                <c:pt idx="3">
                  <c:v>0.28284271247461901</c:v>
                </c:pt>
                <c:pt idx="4">
                  <c:v>0.34641016151377552</c:v>
                </c:pt>
                <c:pt idx="5">
                  <c:v>0.38637033051562736</c:v>
                </c:pt>
                <c:pt idx="6">
                  <c:v>0.4</c:v>
                </c:pt>
                <c:pt idx="7">
                  <c:v>0.38637033051562736</c:v>
                </c:pt>
                <c:pt idx="8">
                  <c:v>0.34641016151377552</c:v>
                </c:pt>
                <c:pt idx="9">
                  <c:v>0.28284271247461906</c:v>
                </c:pt>
                <c:pt idx="10">
                  <c:v>0.20000000000000015</c:v>
                </c:pt>
                <c:pt idx="11">
                  <c:v>0.10352761804100841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D1-4CCF-8A19-AF2B2D26D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AFT_1PEAK!$G$3:$G$14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</c:v>
                </c:pt>
                <c:pt idx="2">
                  <c:v>0.10352761804100832</c:v>
                </c:pt>
                <c:pt idx="3">
                  <c:v>0.19999999999999998</c:v>
                </c:pt>
                <c:pt idx="4">
                  <c:v>0.28284271247461906</c:v>
                </c:pt>
                <c:pt idx="5">
                  <c:v>0.34641016151377552</c:v>
                </c:pt>
                <c:pt idx="6">
                  <c:v>0.3863703305156273</c:v>
                </c:pt>
                <c:pt idx="7">
                  <c:v>0.4</c:v>
                </c:pt>
                <c:pt idx="8">
                  <c:v>0.38637033051562736</c:v>
                </c:pt>
                <c:pt idx="9">
                  <c:v>0.34641016151377541</c:v>
                </c:pt>
                <c:pt idx="10">
                  <c:v>0.28284271247461906</c:v>
                </c:pt>
                <c:pt idx="11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D9-4090-8AAE-8506647CE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AFT_1PEAK!$H$3:$H$14</c:f>
              <c:numCache>
                <c:formatCode>General</c:formatCode>
                <c:ptCount val="12"/>
                <c:pt idx="0">
                  <c:v>0.38637033051562736</c:v>
                </c:pt>
                <c:pt idx="1">
                  <c:v>0.34641016151377552</c:v>
                </c:pt>
                <c:pt idx="2">
                  <c:v>0.28284271247461901</c:v>
                </c:pt>
                <c:pt idx="3">
                  <c:v>0.2</c:v>
                </c:pt>
                <c:pt idx="4">
                  <c:v>0.10352761804100828</c:v>
                </c:pt>
                <c:pt idx="5">
                  <c:v>0</c:v>
                </c:pt>
                <c:pt idx="6">
                  <c:v>0.10352761804100828</c:v>
                </c:pt>
                <c:pt idx="7">
                  <c:v>0.19999999999999996</c:v>
                </c:pt>
                <c:pt idx="8">
                  <c:v>0.28284271247461901</c:v>
                </c:pt>
                <c:pt idx="9">
                  <c:v>0.34641016151377552</c:v>
                </c:pt>
                <c:pt idx="10">
                  <c:v>0.3863703305156273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B9-4B8D-A442-3E3565E23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SIN(2pim/24+5pi/12)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AFT_1PEAK!$I$1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AFT_1PEAK!$I$3:$I$14</c:f>
              <c:numCache>
                <c:formatCode>General</c:formatCode>
                <c:ptCount val="12"/>
                <c:pt idx="0">
                  <c:v>0.4</c:v>
                </c:pt>
                <c:pt idx="1">
                  <c:v>0.38637033051562736</c:v>
                </c:pt>
                <c:pt idx="2">
                  <c:v>0.34641016151377541</c:v>
                </c:pt>
                <c:pt idx="3">
                  <c:v>0.28284271247461906</c:v>
                </c:pt>
                <c:pt idx="4">
                  <c:v>0.19999999999999998</c:v>
                </c:pt>
                <c:pt idx="5">
                  <c:v>0.10352761804100824</c:v>
                </c:pt>
                <c:pt idx="6">
                  <c:v>4.90059381963448E-17</c:v>
                </c:pt>
                <c:pt idx="7">
                  <c:v>0.10352761804100814</c:v>
                </c:pt>
                <c:pt idx="8">
                  <c:v>0.20000000000000007</c:v>
                </c:pt>
                <c:pt idx="9">
                  <c:v>0.28284271247461901</c:v>
                </c:pt>
                <c:pt idx="10">
                  <c:v>0.34641016151377535</c:v>
                </c:pt>
                <c:pt idx="11">
                  <c:v>0.38637033051562736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2F-49C0-9BDA-057597CE9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SIN(2pim/24+3pi/2)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AFT_1PEAK!$J$3:$J$14</c:f>
              <c:numCache>
                <c:formatCode>General</c:formatCode>
                <c:ptCount val="12"/>
                <c:pt idx="0">
                  <c:v>0.38637033051562736</c:v>
                </c:pt>
                <c:pt idx="1">
                  <c:v>0.34641016151377535</c:v>
                </c:pt>
                <c:pt idx="2">
                  <c:v>0.28284271247461901</c:v>
                </c:pt>
                <c:pt idx="3">
                  <c:v>0.20000000000000007</c:v>
                </c:pt>
                <c:pt idx="4">
                  <c:v>0.10352761804100814</c:v>
                </c:pt>
                <c:pt idx="5">
                  <c:v>4.90059381963448E-17</c:v>
                </c:pt>
                <c:pt idx="6">
                  <c:v>0.10352761804100824</c:v>
                </c:pt>
                <c:pt idx="7">
                  <c:v>0.19999999999999998</c:v>
                </c:pt>
                <c:pt idx="8">
                  <c:v>0.28284271247461906</c:v>
                </c:pt>
                <c:pt idx="9">
                  <c:v>0.34641016151377552</c:v>
                </c:pt>
                <c:pt idx="10">
                  <c:v>0.38637033051562736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1A-4683-8EB6-F7850EB4E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519113</xdr:colOff>
      <xdr:row>0</xdr:row>
      <xdr:rowOff>197643</xdr:rowOff>
    </xdr:from>
    <xdr:to>
      <xdr:col>15</xdr:col>
      <xdr:colOff>290513</xdr:colOff>
      <xdr:row>13</xdr:row>
      <xdr:rowOff>30955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5787A66-5AEF-7DE2-1491-A855A3C1E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566739</xdr:colOff>
      <xdr:row>14</xdr:row>
      <xdr:rowOff>80486</xdr:rowOff>
    </xdr:from>
    <xdr:to>
      <xdr:col>6</xdr:col>
      <xdr:colOff>452439</xdr:colOff>
      <xdr:row>23</xdr:row>
      <xdr:rowOff>54768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50E64A0-73A7-803D-8290-F9E9807CC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242889</xdr:colOff>
      <xdr:row>14</xdr:row>
      <xdr:rowOff>99535</xdr:rowOff>
    </xdr:from>
    <xdr:to>
      <xdr:col>11</xdr:col>
      <xdr:colOff>128589</xdr:colOff>
      <xdr:row>23</xdr:row>
      <xdr:rowOff>73817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ED256AA-5FD1-583E-42D4-32C96F958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38101</xdr:colOff>
      <xdr:row>14</xdr:row>
      <xdr:rowOff>85249</xdr:rowOff>
    </xdr:from>
    <xdr:to>
      <xdr:col>15</xdr:col>
      <xdr:colOff>609601</xdr:colOff>
      <xdr:row>23</xdr:row>
      <xdr:rowOff>59531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2B762FB-8817-172C-326E-AF95E9FCB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138114</xdr:colOff>
      <xdr:row>14</xdr:row>
      <xdr:rowOff>156686</xdr:rowOff>
    </xdr:from>
    <xdr:to>
      <xdr:col>20</xdr:col>
      <xdr:colOff>23814</xdr:colOff>
      <xdr:row>23</xdr:row>
      <xdr:rowOff>130968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F21EDF0-97C7-9DD3-1547-961C16882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519113</xdr:colOff>
      <xdr:row>0</xdr:row>
      <xdr:rowOff>197643</xdr:rowOff>
    </xdr:from>
    <xdr:to>
      <xdr:col>15</xdr:col>
      <xdr:colOff>290513</xdr:colOff>
      <xdr:row>13</xdr:row>
      <xdr:rowOff>30955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73873BA-4A0E-4786-A84D-0AD01F408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566739</xdr:colOff>
      <xdr:row>14</xdr:row>
      <xdr:rowOff>80486</xdr:rowOff>
    </xdr:from>
    <xdr:to>
      <xdr:col>6</xdr:col>
      <xdr:colOff>452439</xdr:colOff>
      <xdr:row>23</xdr:row>
      <xdr:rowOff>54768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4768209-FF5E-4F93-AB22-113197ACC7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242889</xdr:colOff>
      <xdr:row>14</xdr:row>
      <xdr:rowOff>99535</xdr:rowOff>
    </xdr:from>
    <xdr:to>
      <xdr:col>11</xdr:col>
      <xdr:colOff>128589</xdr:colOff>
      <xdr:row>23</xdr:row>
      <xdr:rowOff>73817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CC974B2-E80E-45CD-8DF0-43C2F304CF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38101</xdr:colOff>
      <xdr:row>14</xdr:row>
      <xdr:rowOff>85249</xdr:rowOff>
    </xdr:from>
    <xdr:to>
      <xdr:col>15</xdr:col>
      <xdr:colOff>609601</xdr:colOff>
      <xdr:row>23</xdr:row>
      <xdr:rowOff>59531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B3084EC3-6A8B-41AB-B9B6-2968C3635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138114</xdr:colOff>
      <xdr:row>14</xdr:row>
      <xdr:rowOff>156686</xdr:rowOff>
    </xdr:from>
    <xdr:to>
      <xdr:col>20</xdr:col>
      <xdr:colOff>23814</xdr:colOff>
      <xdr:row>23</xdr:row>
      <xdr:rowOff>130968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BD083323-F850-4FA2-BC08-491CAEA737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8504</xdr:colOff>
      <xdr:row>24</xdr:row>
      <xdr:rowOff>65994</xdr:rowOff>
    </xdr:from>
    <xdr:to>
      <xdr:col>9</xdr:col>
      <xdr:colOff>468767</xdr:colOff>
      <xdr:row>36</xdr:row>
      <xdr:rowOff>123144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88814CD-62B1-4B77-B091-FC59F8E7C1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262279</xdr:colOff>
      <xdr:row>1</xdr:row>
      <xdr:rowOff>38644</xdr:rowOff>
    </xdr:from>
    <xdr:to>
      <xdr:col>14</xdr:col>
      <xdr:colOff>147980</xdr:colOff>
      <xdr:row>10</xdr:row>
      <xdr:rowOff>12926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89BF017-9E77-498B-A756-1D119B705C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364332</xdr:colOff>
      <xdr:row>1</xdr:row>
      <xdr:rowOff>23336</xdr:rowOff>
    </xdr:from>
    <xdr:to>
      <xdr:col>19</xdr:col>
      <xdr:colOff>246970</xdr:colOff>
      <xdr:row>10</xdr:row>
      <xdr:rowOff>340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7806946A-2484-C9F2-EC95-1962B41C7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222745</xdr:colOff>
      <xdr:row>10</xdr:row>
      <xdr:rowOff>126309</xdr:rowOff>
    </xdr:from>
    <xdr:to>
      <xdr:col>14</xdr:col>
      <xdr:colOff>105383</xdr:colOff>
      <xdr:row>19</xdr:row>
      <xdr:rowOff>103312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EE6FF2F8-CFA3-6B4F-FF35-F82AABF834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351461</xdr:colOff>
      <xdr:row>10</xdr:row>
      <xdr:rowOff>119873</xdr:rowOff>
    </xdr:from>
    <xdr:to>
      <xdr:col>19</xdr:col>
      <xdr:colOff>234099</xdr:colOff>
      <xdr:row>19</xdr:row>
      <xdr:rowOff>96876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7EA0926-A2FA-F85C-FF0D-D3608065B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75639</xdr:colOff>
      <xdr:row>0</xdr:row>
      <xdr:rowOff>128716</xdr:rowOff>
    </xdr:from>
    <xdr:to>
      <xdr:col>14</xdr:col>
      <xdr:colOff>649972</xdr:colOff>
      <xdr:row>9</xdr:row>
      <xdr:rowOff>102997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9822A4-379A-4B48-846F-9DD4EBA00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235615</xdr:colOff>
      <xdr:row>0</xdr:row>
      <xdr:rowOff>128716</xdr:rowOff>
    </xdr:from>
    <xdr:to>
      <xdr:col>20</xdr:col>
      <xdr:colOff>118254</xdr:colOff>
      <xdr:row>9</xdr:row>
      <xdr:rowOff>105719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B7C61491-B0AA-4DB9-95F1-395D063F0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61848</xdr:colOff>
      <xdr:row>9</xdr:row>
      <xdr:rowOff>171359</xdr:rowOff>
    </xdr:from>
    <xdr:to>
      <xdr:col>14</xdr:col>
      <xdr:colOff>633118</xdr:colOff>
      <xdr:row>18</xdr:row>
      <xdr:rowOff>148363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24A0246-2CFE-46AC-8735-839E8AF72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55413</xdr:colOff>
      <xdr:row>20</xdr:row>
      <xdr:rowOff>107001</xdr:rowOff>
    </xdr:from>
    <xdr:to>
      <xdr:col>7</xdr:col>
      <xdr:colOff>626683</xdr:colOff>
      <xdr:row>29</xdr:row>
      <xdr:rowOff>84004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EEB3459-C02D-44B1-933A-D0F64FE93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100465</xdr:colOff>
      <xdr:row>20</xdr:row>
      <xdr:rowOff>100565</xdr:rowOff>
    </xdr:from>
    <xdr:to>
      <xdr:col>12</xdr:col>
      <xdr:colOff>671735</xdr:colOff>
      <xdr:row>29</xdr:row>
      <xdr:rowOff>77568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816291AB-60BA-87DD-AC28-3D3D6F8A4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229180</xdr:colOff>
      <xdr:row>20</xdr:row>
      <xdr:rowOff>100565</xdr:rowOff>
    </xdr:from>
    <xdr:to>
      <xdr:col>18</xdr:col>
      <xdr:colOff>111819</xdr:colOff>
      <xdr:row>29</xdr:row>
      <xdr:rowOff>77568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EFF3F8E-A518-5E37-4415-D143A0336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8504</xdr:colOff>
      <xdr:row>24</xdr:row>
      <xdr:rowOff>65994</xdr:rowOff>
    </xdr:from>
    <xdr:to>
      <xdr:col>9</xdr:col>
      <xdr:colOff>468767</xdr:colOff>
      <xdr:row>36</xdr:row>
      <xdr:rowOff>123144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9337E95-0059-4CDB-AF6A-C3DF45E125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262279</xdr:colOff>
      <xdr:row>1</xdr:row>
      <xdr:rowOff>38644</xdr:rowOff>
    </xdr:from>
    <xdr:to>
      <xdr:col>14</xdr:col>
      <xdr:colOff>147980</xdr:colOff>
      <xdr:row>10</xdr:row>
      <xdr:rowOff>12926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93BAD3B-F241-496D-88B4-6B12FC38D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364332</xdr:colOff>
      <xdr:row>1</xdr:row>
      <xdr:rowOff>23336</xdr:rowOff>
    </xdr:from>
    <xdr:to>
      <xdr:col>19</xdr:col>
      <xdr:colOff>246970</xdr:colOff>
      <xdr:row>10</xdr:row>
      <xdr:rowOff>340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AAE12ED-7F0D-4177-BD5A-9477B97CD5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222745</xdr:colOff>
      <xdr:row>10</xdr:row>
      <xdr:rowOff>126309</xdr:rowOff>
    </xdr:from>
    <xdr:to>
      <xdr:col>14</xdr:col>
      <xdr:colOff>105383</xdr:colOff>
      <xdr:row>19</xdr:row>
      <xdr:rowOff>103312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FECAA4F-F472-4340-A54A-AF4D9937C7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351461</xdr:colOff>
      <xdr:row>10</xdr:row>
      <xdr:rowOff>119873</xdr:rowOff>
    </xdr:from>
    <xdr:to>
      <xdr:col>19</xdr:col>
      <xdr:colOff>234099</xdr:colOff>
      <xdr:row>19</xdr:row>
      <xdr:rowOff>96876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1B0EF4-7D25-4E3E-9B5F-BC8CB0994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75639</xdr:colOff>
      <xdr:row>0</xdr:row>
      <xdr:rowOff>128716</xdr:rowOff>
    </xdr:from>
    <xdr:to>
      <xdr:col>14</xdr:col>
      <xdr:colOff>649972</xdr:colOff>
      <xdr:row>9</xdr:row>
      <xdr:rowOff>102997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9343567-DF92-4EB5-9286-3B11C1BA4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235615</xdr:colOff>
      <xdr:row>0</xdr:row>
      <xdr:rowOff>128716</xdr:rowOff>
    </xdr:from>
    <xdr:to>
      <xdr:col>20</xdr:col>
      <xdr:colOff>118254</xdr:colOff>
      <xdr:row>9</xdr:row>
      <xdr:rowOff>105719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4481A8-DEEE-4120-AF6C-B9B7A48681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61848</xdr:colOff>
      <xdr:row>9</xdr:row>
      <xdr:rowOff>171359</xdr:rowOff>
    </xdr:from>
    <xdr:to>
      <xdr:col>14</xdr:col>
      <xdr:colOff>633118</xdr:colOff>
      <xdr:row>18</xdr:row>
      <xdr:rowOff>148363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8AB51D5-502B-4C54-8DB0-E211DAAAB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55413</xdr:colOff>
      <xdr:row>20</xdr:row>
      <xdr:rowOff>107001</xdr:rowOff>
    </xdr:from>
    <xdr:to>
      <xdr:col>7</xdr:col>
      <xdr:colOff>626683</xdr:colOff>
      <xdr:row>29</xdr:row>
      <xdr:rowOff>84004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269BBE8-825A-42F1-BD9F-F6B282596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100465</xdr:colOff>
      <xdr:row>20</xdr:row>
      <xdr:rowOff>100565</xdr:rowOff>
    </xdr:from>
    <xdr:to>
      <xdr:col>12</xdr:col>
      <xdr:colOff>671735</xdr:colOff>
      <xdr:row>29</xdr:row>
      <xdr:rowOff>77568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4C07566-48E4-4DAE-A2C0-E96616BFE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229180</xdr:colOff>
      <xdr:row>20</xdr:row>
      <xdr:rowOff>100565</xdr:rowOff>
    </xdr:from>
    <xdr:to>
      <xdr:col>18</xdr:col>
      <xdr:colOff>111819</xdr:colOff>
      <xdr:row>29</xdr:row>
      <xdr:rowOff>77568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9C5CF16-3EC7-40A3-81BC-4419A5C16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53"/>
  <sheetViews>
    <sheetView workbookViewId="0">
      <selection activeCell="Q11" sqref="Q11"/>
    </sheetView>
  </sheetViews>
  <sheetFormatPr defaultRowHeight="17.649999999999999"/>
  <sheetData>
    <row r="2" spans="1:8">
      <c r="A2" t="s">
        <v>1</v>
      </c>
      <c r="B2" t="s">
        <v>0</v>
      </c>
      <c r="D2" t="s">
        <v>2</v>
      </c>
      <c r="E2" t="s">
        <v>5</v>
      </c>
      <c r="F2" t="s">
        <v>6</v>
      </c>
      <c r="G2" t="s">
        <v>3</v>
      </c>
      <c r="H2" t="s">
        <v>4</v>
      </c>
    </row>
    <row r="3" spans="1:8">
      <c r="A3">
        <v>0</v>
      </c>
      <c r="B3">
        <f>EXP(A3)</f>
        <v>1</v>
      </c>
      <c r="D3">
        <v>1</v>
      </c>
      <c r="E3">
        <f>SIN(2*PI()*D3/3)</f>
        <v>0.86602540378443871</v>
      </c>
      <c r="F3">
        <f>SIN(2*PI()*D3/6)</f>
        <v>0.8660254037844386</v>
      </c>
      <c r="G3">
        <f>SIN(2*PI()*D3/12)</f>
        <v>0.49999999999999994</v>
      </c>
      <c r="H3">
        <f>SIN(2*PI()*D3/24)</f>
        <v>0.25881904510252074</v>
      </c>
    </row>
    <row r="4" spans="1:8">
      <c r="A4">
        <v>0.1</v>
      </c>
      <c r="B4">
        <f>EXP(-A4)</f>
        <v>0.90483741803595952</v>
      </c>
      <c r="D4">
        <v>2</v>
      </c>
      <c r="E4">
        <f t="shared" ref="E4:E14" si="0">SIN(2*PI()*D4/3)</f>
        <v>-0.86602540378443837</v>
      </c>
      <c r="F4">
        <f>SIN(2*PI()*D4/6)</f>
        <v>0.86602540378443871</v>
      </c>
      <c r="G4">
        <f>SIN(2*PI()*D4/12)</f>
        <v>0.8660254037844386</v>
      </c>
      <c r="H4">
        <f t="shared" ref="H4:H14" si="1">SIN(2*PI()*D4/24)</f>
        <v>0.49999999999999994</v>
      </c>
    </row>
    <row r="5" spans="1:8">
      <c r="A5">
        <v>0.2</v>
      </c>
      <c r="B5">
        <f t="shared" ref="B4:B53" si="2">EXP(A5)</f>
        <v>1.2214027581601699</v>
      </c>
      <c r="D5">
        <v>3</v>
      </c>
      <c r="E5">
        <f t="shared" si="0"/>
        <v>-2.45029690981724E-16</v>
      </c>
      <c r="F5">
        <f t="shared" ref="F4:F14" si="3">SIN(2*PI()*D5/6)</f>
        <v>1.22514845490862E-16</v>
      </c>
      <c r="G5">
        <f>SIN(2*PI()*D5/12)</f>
        <v>1</v>
      </c>
      <c r="H5">
        <f t="shared" si="1"/>
        <v>0.70710678118654746</v>
      </c>
    </row>
    <row r="6" spans="1:8">
      <c r="A6">
        <v>0.3</v>
      </c>
      <c r="B6">
        <f t="shared" si="2"/>
        <v>1.3498588075760032</v>
      </c>
      <c r="D6">
        <v>4</v>
      </c>
      <c r="E6">
        <f t="shared" si="0"/>
        <v>0.86602540378443915</v>
      </c>
      <c r="F6">
        <f t="shared" si="3"/>
        <v>-0.86602540378443837</v>
      </c>
      <c r="G6">
        <f>SIN(2*PI()*D6/12)</f>
        <v>0.86602540378443871</v>
      </c>
      <c r="H6">
        <f t="shared" si="1"/>
        <v>0.8660254037844386</v>
      </c>
    </row>
    <row r="7" spans="1:8">
      <c r="A7">
        <v>0.4</v>
      </c>
      <c r="B7">
        <f t="shared" si="2"/>
        <v>1.4918246976412703</v>
      </c>
      <c r="D7">
        <v>5</v>
      </c>
      <c r="E7">
        <f t="shared" si="0"/>
        <v>-0.86602540378443871</v>
      </c>
      <c r="F7">
        <f t="shared" si="3"/>
        <v>-0.8660254037844386</v>
      </c>
      <c r="G7">
        <f>SIN(2*PI()*D7/12)</f>
        <v>0.49999999999999994</v>
      </c>
      <c r="H7">
        <f t="shared" si="1"/>
        <v>0.96592582628906831</v>
      </c>
    </row>
    <row r="8" spans="1:8">
      <c r="A8">
        <v>0.5</v>
      </c>
      <c r="B8">
        <f t="shared" si="2"/>
        <v>1.6487212707001282</v>
      </c>
      <c r="D8">
        <v>6</v>
      </c>
      <c r="E8">
        <f t="shared" si="0"/>
        <v>-4.90059381963448E-16</v>
      </c>
      <c r="F8">
        <f t="shared" si="3"/>
        <v>-2.45029690981724E-16</v>
      </c>
      <c r="G8">
        <f>SIN(2*PI()*D8/12)</f>
        <v>1.22514845490862E-16</v>
      </c>
      <c r="H8">
        <f t="shared" si="1"/>
        <v>1</v>
      </c>
    </row>
    <row r="9" spans="1:8">
      <c r="A9">
        <v>0.6</v>
      </c>
      <c r="B9">
        <f t="shared" si="2"/>
        <v>1.8221188003905089</v>
      </c>
      <c r="D9">
        <v>7</v>
      </c>
      <c r="E9">
        <f t="shared" si="0"/>
        <v>0.86602540378443926</v>
      </c>
      <c r="F9">
        <f t="shared" si="3"/>
        <v>0.86602540378443837</v>
      </c>
      <c r="G9">
        <f>SIN(2*PI()*D9/12)</f>
        <v>-0.49999999999999972</v>
      </c>
      <c r="H9">
        <f t="shared" si="1"/>
        <v>0.96592582628906831</v>
      </c>
    </row>
    <row r="10" spans="1:8">
      <c r="A10">
        <v>0.7</v>
      </c>
      <c r="B10">
        <f t="shared" si="2"/>
        <v>2.0137527074704766</v>
      </c>
      <c r="D10">
        <v>8</v>
      </c>
      <c r="E10">
        <f t="shared" si="0"/>
        <v>-0.86602540378443771</v>
      </c>
      <c r="F10">
        <f t="shared" si="3"/>
        <v>0.86602540378443915</v>
      </c>
      <c r="G10">
        <f>SIN(2*PI()*D10/12)</f>
        <v>-0.86602540378443837</v>
      </c>
      <c r="H10">
        <f t="shared" si="1"/>
        <v>0.86602540378443871</v>
      </c>
    </row>
    <row r="11" spans="1:8">
      <c r="A11">
        <v>0.8</v>
      </c>
      <c r="B11">
        <f t="shared" si="2"/>
        <v>2.2255409284924679</v>
      </c>
      <c r="D11">
        <v>9</v>
      </c>
      <c r="E11">
        <f t="shared" si="0"/>
        <v>-7.3508907294517201E-16</v>
      </c>
      <c r="F11">
        <f t="shared" si="3"/>
        <v>3.67544536472586E-16</v>
      </c>
      <c r="G11">
        <f>SIN(2*PI()*D11/12)</f>
        <v>-1</v>
      </c>
      <c r="H11">
        <f t="shared" si="1"/>
        <v>0.70710678118654757</v>
      </c>
    </row>
    <row r="12" spans="1:8">
      <c r="A12">
        <v>0.9</v>
      </c>
      <c r="B12">
        <f t="shared" si="2"/>
        <v>2.4596031111569499</v>
      </c>
      <c r="D12">
        <v>10</v>
      </c>
      <c r="E12">
        <f t="shared" si="0"/>
        <v>0.86602540378443849</v>
      </c>
      <c r="F12">
        <f t="shared" si="3"/>
        <v>-0.86602540378443871</v>
      </c>
      <c r="G12">
        <f>SIN(2*PI()*D12/12)</f>
        <v>-0.8660254037844386</v>
      </c>
      <c r="H12">
        <f t="shared" si="1"/>
        <v>0.49999999999999994</v>
      </c>
    </row>
    <row r="13" spans="1:8">
      <c r="A13">
        <v>1</v>
      </c>
      <c r="B13">
        <f t="shared" si="2"/>
        <v>2.7182818284590451</v>
      </c>
      <c r="D13">
        <v>11</v>
      </c>
      <c r="E13">
        <f t="shared" si="0"/>
        <v>-0.8660254037844376</v>
      </c>
      <c r="F13">
        <f t="shared" si="3"/>
        <v>-0.86602540378443915</v>
      </c>
      <c r="G13">
        <f>SIN(2*PI()*D13/12)</f>
        <v>-0.50000000000000044</v>
      </c>
      <c r="H13">
        <f t="shared" si="1"/>
        <v>0.25881904510252102</v>
      </c>
    </row>
    <row r="14" spans="1:8">
      <c r="A14">
        <v>1.1000000000000001</v>
      </c>
      <c r="B14">
        <f t="shared" si="2"/>
        <v>3.0041660239464334</v>
      </c>
      <c r="D14">
        <v>12</v>
      </c>
      <c r="E14">
        <f t="shared" si="0"/>
        <v>-9.8011876392689601E-16</v>
      </c>
      <c r="F14">
        <f t="shared" si="3"/>
        <v>-4.90059381963448E-16</v>
      </c>
      <c r="G14">
        <f>SIN(2*PI()*D14/12)</f>
        <v>-2.45029690981724E-16</v>
      </c>
      <c r="H14">
        <f t="shared" si="1"/>
        <v>1.22514845490862E-16</v>
      </c>
    </row>
    <row r="15" spans="1:8">
      <c r="A15">
        <v>1.2</v>
      </c>
      <c r="B15">
        <f t="shared" si="2"/>
        <v>3.3201169227365472</v>
      </c>
    </row>
    <row r="16" spans="1:8">
      <c r="A16">
        <v>1.3</v>
      </c>
      <c r="B16">
        <f t="shared" si="2"/>
        <v>3.6692966676192444</v>
      </c>
    </row>
    <row r="17" spans="1:2">
      <c r="A17">
        <v>1.4</v>
      </c>
      <c r="B17">
        <f t="shared" si="2"/>
        <v>4.0551999668446745</v>
      </c>
    </row>
    <row r="18" spans="1:2">
      <c r="A18">
        <v>1.5</v>
      </c>
      <c r="B18">
        <f t="shared" si="2"/>
        <v>4.4816890703380645</v>
      </c>
    </row>
    <row r="19" spans="1:2">
      <c r="A19">
        <v>1.6</v>
      </c>
      <c r="B19">
        <f t="shared" si="2"/>
        <v>4.9530324243951149</v>
      </c>
    </row>
    <row r="20" spans="1:2">
      <c r="A20">
        <v>1.7</v>
      </c>
      <c r="B20">
        <f t="shared" si="2"/>
        <v>5.4739473917271999</v>
      </c>
    </row>
    <row r="21" spans="1:2">
      <c r="A21">
        <v>1.8</v>
      </c>
      <c r="B21">
        <f t="shared" si="2"/>
        <v>6.0496474644129465</v>
      </c>
    </row>
    <row r="22" spans="1:2">
      <c r="A22">
        <v>1.9</v>
      </c>
      <c r="B22">
        <f t="shared" si="2"/>
        <v>6.6858944422792685</v>
      </c>
    </row>
    <row r="23" spans="1:2">
      <c r="A23">
        <v>2</v>
      </c>
      <c r="B23">
        <f t="shared" si="2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2"/>
        <v>9.025013499434122</v>
      </c>
    </row>
    <row r="26" spans="1:2">
      <c r="A26">
        <v>2.2999999999999998</v>
      </c>
      <c r="B26">
        <f t="shared" si="2"/>
        <v>9.9741824548147182</v>
      </c>
    </row>
    <row r="27" spans="1:2">
      <c r="A27">
        <v>2.4</v>
      </c>
      <c r="B27">
        <f t="shared" si="2"/>
        <v>11.023176380641601</v>
      </c>
    </row>
    <row r="28" spans="1:2">
      <c r="A28">
        <v>2.5</v>
      </c>
      <c r="B28">
        <f t="shared" si="2"/>
        <v>12.182493960703473</v>
      </c>
    </row>
    <row r="29" spans="1:2">
      <c r="A29">
        <v>2.6</v>
      </c>
      <c r="B29">
        <f t="shared" si="2"/>
        <v>13.463738035001692</v>
      </c>
    </row>
    <row r="30" spans="1:2">
      <c r="A30">
        <v>2.7</v>
      </c>
      <c r="B30">
        <f t="shared" si="2"/>
        <v>14.879731724872837</v>
      </c>
    </row>
    <row r="31" spans="1:2">
      <c r="A31">
        <v>2.8</v>
      </c>
      <c r="B31">
        <f t="shared" si="2"/>
        <v>16.444646771097048</v>
      </c>
    </row>
    <row r="32" spans="1:2">
      <c r="A32">
        <v>2.9</v>
      </c>
      <c r="B32">
        <f t="shared" si="2"/>
        <v>18.17414536944306</v>
      </c>
    </row>
    <row r="33" spans="1:2">
      <c r="A33">
        <v>3</v>
      </c>
      <c r="B33">
        <f t="shared" si="2"/>
        <v>20.085536923187668</v>
      </c>
    </row>
    <row r="34" spans="1:2">
      <c r="A34">
        <v>3.1</v>
      </c>
      <c r="B34">
        <f t="shared" si="2"/>
        <v>22.197951281441636</v>
      </c>
    </row>
    <row r="35" spans="1:2">
      <c r="A35">
        <v>3.2</v>
      </c>
      <c r="B35">
        <f t="shared" si="2"/>
        <v>24.532530197109352</v>
      </c>
    </row>
    <row r="36" spans="1:2">
      <c r="A36">
        <v>3.3</v>
      </c>
      <c r="B36">
        <f t="shared" si="2"/>
        <v>27.112638920657883</v>
      </c>
    </row>
    <row r="37" spans="1:2">
      <c r="A37">
        <v>3.4</v>
      </c>
      <c r="B37">
        <f t="shared" si="2"/>
        <v>29.964100047397011</v>
      </c>
    </row>
    <row r="38" spans="1:2">
      <c r="A38">
        <v>3.5</v>
      </c>
      <c r="B38">
        <f t="shared" si="2"/>
        <v>33.115451958692312</v>
      </c>
    </row>
    <row r="39" spans="1:2">
      <c r="A39">
        <v>3.6</v>
      </c>
      <c r="B39">
        <f t="shared" si="2"/>
        <v>36.598234443677988</v>
      </c>
    </row>
    <row r="40" spans="1:2">
      <c r="A40">
        <v>3.7</v>
      </c>
      <c r="B40">
        <f t="shared" si="2"/>
        <v>40.447304360067399</v>
      </c>
    </row>
    <row r="41" spans="1:2">
      <c r="A41">
        <v>3.8</v>
      </c>
      <c r="B41">
        <f t="shared" si="2"/>
        <v>44.701184493300815</v>
      </c>
    </row>
    <row r="42" spans="1:2">
      <c r="A42">
        <v>3.9</v>
      </c>
      <c r="B42">
        <f t="shared" si="2"/>
        <v>49.402449105530167</v>
      </c>
    </row>
    <row r="43" spans="1:2">
      <c r="A43">
        <v>4</v>
      </c>
      <c r="B43">
        <f t="shared" si="2"/>
        <v>54.598150033144236</v>
      </c>
    </row>
    <row r="44" spans="1:2">
      <c r="A44">
        <v>4.0999999999999996</v>
      </c>
      <c r="B44">
        <f t="shared" si="2"/>
        <v>60.34028759736195</v>
      </c>
    </row>
    <row r="45" spans="1:2">
      <c r="A45">
        <v>4.2</v>
      </c>
      <c r="B45">
        <f t="shared" si="2"/>
        <v>66.686331040925154</v>
      </c>
    </row>
    <row r="46" spans="1:2">
      <c r="A46">
        <v>4.3</v>
      </c>
      <c r="B46">
        <f t="shared" si="2"/>
        <v>73.699793699595787</v>
      </c>
    </row>
    <row r="47" spans="1:2">
      <c r="A47">
        <v>4.4000000000000004</v>
      </c>
      <c r="B47">
        <f t="shared" si="2"/>
        <v>81.450868664968141</v>
      </c>
    </row>
    <row r="48" spans="1:2">
      <c r="A48">
        <v>4.5</v>
      </c>
      <c r="B48">
        <f t="shared" si="2"/>
        <v>90.017131300521811</v>
      </c>
    </row>
    <row r="49" spans="1:2">
      <c r="A49">
        <v>4.5999999999999996</v>
      </c>
      <c r="B49">
        <f t="shared" si="2"/>
        <v>99.484315641933776</v>
      </c>
    </row>
    <row r="50" spans="1:2">
      <c r="A50">
        <v>4.7</v>
      </c>
      <c r="B50">
        <f t="shared" si="2"/>
        <v>109.94717245212352</v>
      </c>
    </row>
    <row r="51" spans="1:2">
      <c r="A51">
        <v>4.8</v>
      </c>
      <c r="B51">
        <f t="shared" si="2"/>
        <v>121.51041751873485</v>
      </c>
    </row>
    <row r="52" spans="1:2">
      <c r="A52">
        <v>4.9000000000000004</v>
      </c>
      <c r="B52">
        <f t="shared" si="2"/>
        <v>134.28977968493552</v>
      </c>
    </row>
    <row r="53" spans="1:2">
      <c r="A53">
        <v>5</v>
      </c>
      <c r="B53">
        <f t="shared" si="2"/>
        <v>148.4131591025766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FB8-398B-4E4B-885B-0A4284CA7041}">
  <dimension ref="A2:H53"/>
  <sheetViews>
    <sheetView workbookViewId="0">
      <selection activeCell="R7" sqref="R7"/>
    </sheetView>
  </sheetViews>
  <sheetFormatPr defaultRowHeight="17.649999999999999"/>
  <sheetData>
    <row r="2" spans="1:8">
      <c r="A2" t="s">
        <v>1</v>
      </c>
      <c r="B2" t="s">
        <v>0</v>
      </c>
      <c r="D2" t="s">
        <v>2</v>
      </c>
      <c r="E2" t="s">
        <v>5</v>
      </c>
      <c r="F2" t="s">
        <v>6</v>
      </c>
      <c r="G2" t="s">
        <v>3</v>
      </c>
      <c r="H2" t="s">
        <v>4</v>
      </c>
    </row>
    <row r="3" spans="1:8">
      <c r="A3">
        <v>0</v>
      </c>
      <c r="B3">
        <f>EXP(A3)</f>
        <v>1</v>
      </c>
      <c r="D3">
        <v>1</v>
      </c>
      <c r="E3">
        <f>ABS(SIN(2*PI()*D3/3))</f>
        <v>0.86602540378443871</v>
      </c>
      <c r="F3">
        <f>ABS(SIN(2*PI()*D3/6))</f>
        <v>0.8660254037844386</v>
      </c>
      <c r="G3">
        <f>ABS(SIN(2*PI()*D3/12))</f>
        <v>0.49999999999999994</v>
      </c>
      <c r="H3">
        <f>ABS(SIN(2*PI()*D3/24))</f>
        <v>0.25881904510252074</v>
      </c>
    </row>
    <row r="4" spans="1:8">
      <c r="A4">
        <v>0.1</v>
      </c>
      <c r="B4">
        <f>EXP(-A4)</f>
        <v>0.90483741803595952</v>
      </c>
      <c r="D4">
        <v>2</v>
      </c>
      <c r="E4">
        <f t="shared" ref="E4:E14" si="0">ABS(SIN(2*PI()*D4/3))</f>
        <v>0.86602540378443837</v>
      </c>
      <c r="F4">
        <f t="shared" ref="F4:F14" si="1">ABS(SIN(2*PI()*D4/6))</f>
        <v>0.86602540378443871</v>
      </c>
      <c r="G4">
        <f t="shared" ref="G4:G14" si="2">ABS(SIN(2*PI()*D4/12))</f>
        <v>0.8660254037844386</v>
      </c>
      <c r="H4">
        <f t="shared" ref="H4:H14" si="3">ABS(SIN(2*PI()*D4/24))</f>
        <v>0.49999999999999994</v>
      </c>
    </row>
    <row r="5" spans="1:8">
      <c r="A5">
        <v>0.2</v>
      </c>
      <c r="B5">
        <f t="shared" ref="B5:B53" si="4">EXP(A5)</f>
        <v>1.2214027581601699</v>
      </c>
      <c r="D5">
        <v>3</v>
      </c>
      <c r="E5">
        <f t="shared" si="0"/>
        <v>2.45029690981724E-16</v>
      </c>
      <c r="F5">
        <f t="shared" si="1"/>
        <v>1.22514845490862E-16</v>
      </c>
      <c r="G5">
        <f t="shared" si="2"/>
        <v>1</v>
      </c>
      <c r="H5">
        <f t="shared" si="3"/>
        <v>0.70710678118654746</v>
      </c>
    </row>
    <row r="6" spans="1:8">
      <c r="A6">
        <v>0.3</v>
      </c>
      <c r="B6">
        <f t="shared" si="4"/>
        <v>1.3498588075760032</v>
      </c>
      <c r="D6">
        <v>4</v>
      </c>
      <c r="E6">
        <f t="shared" si="0"/>
        <v>0.86602540378443915</v>
      </c>
      <c r="F6">
        <f t="shared" si="1"/>
        <v>0.86602540378443837</v>
      </c>
      <c r="G6">
        <f t="shared" si="2"/>
        <v>0.86602540378443871</v>
      </c>
      <c r="H6">
        <f t="shared" si="3"/>
        <v>0.8660254037844386</v>
      </c>
    </row>
    <row r="7" spans="1:8">
      <c r="A7">
        <v>0.4</v>
      </c>
      <c r="B7">
        <f t="shared" si="4"/>
        <v>1.4918246976412703</v>
      </c>
      <c r="D7">
        <v>5</v>
      </c>
      <c r="E7">
        <f t="shared" si="0"/>
        <v>0.86602540378443871</v>
      </c>
      <c r="F7">
        <f t="shared" si="1"/>
        <v>0.8660254037844386</v>
      </c>
      <c r="G7">
        <f t="shared" si="2"/>
        <v>0.49999999999999994</v>
      </c>
      <c r="H7">
        <f t="shared" si="3"/>
        <v>0.96592582628906831</v>
      </c>
    </row>
    <row r="8" spans="1:8">
      <c r="A8">
        <v>0.5</v>
      </c>
      <c r="B8">
        <f t="shared" si="4"/>
        <v>1.6487212707001282</v>
      </c>
      <c r="D8">
        <v>6</v>
      </c>
      <c r="E8">
        <f t="shared" si="0"/>
        <v>4.90059381963448E-16</v>
      </c>
      <c r="F8">
        <f t="shared" si="1"/>
        <v>2.45029690981724E-16</v>
      </c>
      <c r="G8">
        <f t="shared" si="2"/>
        <v>1.22514845490862E-16</v>
      </c>
      <c r="H8">
        <f t="shared" si="3"/>
        <v>1</v>
      </c>
    </row>
    <row r="9" spans="1:8">
      <c r="A9">
        <v>0.6</v>
      </c>
      <c r="B9">
        <f t="shared" si="4"/>
        <v>1.8221188003905089</v>
      </c>
      <c r="D9">
        <v>7</v>
      </c>
      <c r="E9">
        <f t="shared" si="0"/>
        <v>0.86602540378443926</v>
      </c>
      <c r="F9">
        <f t="shared" si="1"/>
        <v>0.86602540378443837</v>
      </c>
      <c r="G9">
        <f t="shared" si="2"/>
        <v>0.49999999999999972</v>
      </c>
      <c r="H9">
        <f t="shared" si="3"/>
        <v>0.96592582628906831</v>
      </c>
    </row>
    <row r="10" spans="1:8">
      <c r="A10">
        <v>0.7</v>
      </c>
      <c r="B10">
        <f t="shared" si="4"/>
        <v>2.0137527074704766</v>
      </c>
      <c r="D10">
        <v>8</v>
      </c>
      <c r="E10">
        <f t="shared" si="0"/>
        <v>0.86602540378443771</v>
      </c>
      <c r="F10">
        <f t="shared" si="1"/>
        <v>0.86602540378443915</v>
      </c>
      <c r="G10">
        <f t="shared" si="2"/>
        <v>0.86602540378443837</v>
      </c>
      <c r="H10">
        <f t="shared" si="3"/>
        <v>0.86602540378443871</v>
      </c>
    </row>
    <row r="11" spans="1:8">
      <c r="A11">
        <v>0.8</v>
      </c>
      <c r="B11">
        <f t="shared" si="4"/>
        <v>2.2255409284924679</v>
      </c>
      <c r="D11">
        <v>9</v>
      </c>
      <c r="E11">
        <f t="shared" si="0"/>
        <v>7.3508907294517201E-16</v>
      </c>
      <c r="F11">
        <f t="shared" si="1"/>
        <v>3.67544536472586E-16</v>
      </c>
      <c r="G11">
        <f t="shared" si="2"/>
        <v>1</v>
      </c>
      <c r="H11">
        <f t="shared" si="3"/>
        <v>0.70710678118654757</v>
      </c>
    </row>
    <row r="12" spans="1:8">
      <c r="A12">
        <v>0.9</v>
      </c>
      <c r="B12">
        <f t="shared" si="4"/>
        <v>2.4596031111569499</v>
      </c>
      <c r="D12">
        <v>10</v>
      </c>
      <c r="E12">
        <f t="shared" si="0"/>
        <v>0.86602540378443849</v>
      </c>
      <c r="F12">
        <f t="shared" si="1"/>
        <v>0.86602540378443871</v>
      </c>
      <c r="G12">
        <f t="shared" si="2"/>
        <v>0.8660254037844386</v>
      </c>
      <c r="H12">
        <f t="shared" si="3"/>
        <v>0.49999999999999994</v>
      </c>
    </row>
    <row r="13" spans="1:8">
      <c r="A13">
        <v>1</v>
      </c>
      <c r="B13">
        <f t="shared" si="4"/>
        <v>2.7182818284590451</v>
      </c>
      <c r="D13">
        <v>11</v>
      </c>
      <c r="E13">
        <f t="shared" si="0"/>
        <v>0.8660254037844376</v>
      </c>
      <c r="F13">
        <f t="shared" si="1"/>
        <v>0.86602540378443915</v>
      </c>
      <c r="G13">
        <f t="shared" si="2"/>
        <v>0.50000000000000044</v>
      </c>
      <c r="H13">
        <f t="shared" si="3"/>
        <v>0.25881904510252102</v>
      </c>
    </row>
    <row r="14" spans="1:8">
      <c r="A14">
        <v>1.1000000000000001</v>
      </c>
      <c r="B14">
        <f t="shared" si="4"/>
        <v>3.0041660239464334</v>
      </c>
      <c r="D14">
        <v>12</v>
      </c>
      <c r="E14">
        <f t="shared" si="0"/>
        <v>9.8011876392689601E-16</v>
      </c>
      <c r="F14">
        <f t="shared" si="1"/>
        <v>4.90059381963448E-16</v>
      </c>
      <c r="G14">
        <f t="shared" si="2"/>
        <v>2.45029690981724E-16</v>
      </c>
      <c r="H14">
        <f t="shared" si="3"/>
        <v>1.22514845490862E-16</v>
      </c>
    </row>
    <row r="15" spans="1:8">
      <c r="A15">
        <v>1.2</v>
      </c>
      <c r="B15">
        <f t="shared" si="4"/>
        <v>3.3201169227365472</v>
      </c>
    </row>
    <row r="16" spans="1:8">
      <c r="A16">
        <v>1.3</v>
      </c>
      <c r="B16">
        <f t="shared" si="4"/>
        <v>3.6692966676192444</v>
      </c>
    </row>
    <row r="17" spans="1:2">
      <c r="A17">
        <v>1.4</v>
      </c>
      <c r="B17">
        <f t="shared" si="4"/>
        <v>4.0551999668446745</v>
      </c>
    </row>
    <row r="18" spans="1:2">
      <c r="A18">
        <v>1.5</v>
      </c>
      <c r="B18">
        <f t="shared" si="4"/>
        <v>4.4816890703380645</v>
      </c>
    </row>
    <row r="19" spans="1:2">
      <c r="A19">
        <v>1.6</v>
      </c>
      <c r="B19">
        <f t="shared" si="4"/>
        <v>4.9530324243951149</v>
      </c>
    </row>
    <row r="20" spans="1:2">
      <c r="A20">
        <v>1.7</v>
      </c>
      <c r="B20">
        <f t="shared" si="4"/>
        <v>5.4739473917271999</v>
      </c>
    </row>
    <row r="21" spans="1:2">
      <c r="A21">
        <v>1.8</v>
      </c>
      <c r="B21">
        <f t="shared" si="4"/>
        <v>6.0496474644129465</v>
      </c>
    </row>
    <row r="22" spans="1:2">
      <c r="A22">
        <v>1.9</v>
      </c>
      <c r="B22">
        <f t="shared" si="4"/>
        <v>6.6858944422792685</v>
      </c>
    </row>
    <row r="23" spans="1:2">
      <c r="A23">
        <v>2</v>
      </c>
      <c r="B23">
        <f t="shared" si="4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4"/>
        <v>9.025013499434122</v>
      </c>
    </row>
    <row r="26" spans="1:2">
      <c r="A26">
        <v>2.2999999999999998</v>
      </c>
      <c r="B26">
        <f t="shared" si="4"/>
        <v>9.9741824548147182</v>
      </c>
    </row>
    <row r="27" spans="1:2">
      <c r="A27">
        <v>2.4</v>
      </c>
      <c r="B27">
        <f t="shared" si="4"/>
        <v>11.023176380641601</v>
      </c>
    </row>
    <row r="28" spans="1:2">
      <c r="A28">
        <v>2.5</v>
      </c>
      <c r="B28">
        <f t="shared" si="4"/>
        <v>12.182493960703473</v>
      </c>
    </row>
    <row r="29" spans="1:2">
      <c r="A29">
        <v>2.6</v>
      </c>
      <c r="B29">
        <f t="shared" si="4"/>
        <v>13.463738035001692</v>
      </c>
    </row>
    <row r="30" spans="1:2">
      <c r="A30">
        <v>2.7</v>
      </c>
      <c r="B30">
        <f t="shared" si="4"/>
        <v>14.879731724872837</v>
      </c>
    </row>
    <row r="31" spans="1:2">
      <c r="A31">
        <v>2.8</v>
      </c>
      <c r="B31">
        <f t="shared" si="4"/>
        <v>16.444646771097048</v>
      </c>
    </row>
    <row r="32" spans="1:2">
      <c r="A32">
        <v>2.9</v>
      </c>
      <c r="B32">
        <f t="shared" si="4"/>
        <v>18.17414536944306</v>
      </c>
    </row>
    <row r="33" spans="1:2">
      <c r="A33">
        <v>3</v>
      </c>
      <c r="B33">
        <f t="shared" si="4"/>
        <v>20.085536923187668</v>
      </c>
    </row>
    <row r="34" spans="1:2">
      <c r="A34">
        <v>3.1</v>
      </c>
      <c r="B34">
        <f t="shared" si="4"/>
        <v>22.197951281441636</v>
      </c>
    </row>
    <row r="35" spans="1:2">
      <c r="A35">
        <v>3.2</v>
      </c>
      <c r="B35">
        <f t="shared" si="4"/>
        <v>24.532530197109352</v>
      </c>
    </row>
    <row r="36" spans="1:2">
      <c r="A36">
        <v>3.3</v>
      </c>
      <c r="B36">
        <f t="shared" si="4"/>
        <v>27.112638920657883</v>
      </c>
    </row>
    <row r="37" spans="1:2">
      <c r="A37">
        <v>3.4</v>
      </c>
      <c r="B37">
        <f t="shared" si="4"/>
        <v>29.964100047397011</v>
      </c>
    </row>
    <row r="38" spans="1:2">
      <c r="A38">
        <v>3.5</v>
      </c>
      <c r="B38">
        <f t="shared" si="4"/>
        <v>33.115451958692312</v>
      </c>
    </row>
    <row r="39" spans="1:2">
      <c r="A39">
        <v>3.6</v>
      </c>
      <c r="B39">
        <f t="shared" si="4"/>
        <v>36.598234443677988</v>
      </c>
    </row>
    <row r="40" spans="1:2">
      <c r="A40">
        <v>3.7</v>
      </c>
      <c r="B40">
        <f t="shared" si="4"/>
        <v>40.447304360067399</v>
      </c>
    </row>
    <row r="41" spans="1:2">
      <c r="A41">
        <v>3.8</v>
      </c>
      <c r="B41">
        <f t="shared" si="4"/>
        <v>44.701184493300815</v>
      </c>
    </row>
    <row r="42" spans="1:2">
      <c r="A42">
        <v>3.9</v>
      </c>
      <c r="B42">
        <f t="shared" si="4"/>
        <v>49.402449105530167</v>
      </c>
    </row>
    <row r="43" spans="1:2">
      <c r="A43">
        <v>4</v>
      </c>
      <c r="B43">
        <f t="shared" si="4"/>
        <v>54.598150033144236</v>
      </c>
    </row>
    <row r="44" spans="1:2">
      <c r="A44">
        <v>4.0999999999999996</v>
      </c>
      <c r="B44">
        <f t="shared" si="4"/>
        <v>60.34028759736195</v>
      </c>
    </row>
    <row r="45" spans="1:2">
      <c r="A45">
        <v>4.2</v>
      </c>
      <c r="B45">
        <f t="shared" si="4"/>
        <v>66.686331040925154</v>
      </c>
    </row>
    <row r="46" spans="1:2">
      <c r="A46">
        <v>4.3</v>
      </c>
      <c r="B46">
        <f t="shared" si="4"/>
        <v>73.699793699595787</v>
      </c>
    </row>
    <row r="47" spans="1:2">
      <c r="A47">
        <v>4.4000000000000004</v>
      </c>
      <c r="B47">
        <f t="shared" si="4"/>
        <v>81.450868664968141</v>
      </c>
    </row>
    <row r="48" spans="1:2">
      <c r="A48">
        <v>4.5</v>
      </c>
      <c r="B48">
        <f t="shared" si="4"/>
        <v>90.017131300521811</v>
      </c>
    </row>
    <row r="49" spans="1:2">
      <c r="A49">
        <v>4.5999999999999996</v>
      </c>
      <c r="B49">
        <f t="shared" si="4"/>
        <v>99.484315641933776</v>
      </c>
    </row>
    <row r="50" spans="1:2">
      <c r="A50">
        <v>4.7</v>
      </c>
      <c r="B50">
        <f t="shared" si="4"/>
        <v>109.94717245212352</v>
      </c>
    </row>
    <row r="51" spans="1:2">
      <c r="A51">
        <v>4.8</v>
      </c>
      <c r="B51">
        <f t="shared" si="4"/>
        <v>121.51041751873485</v>
      </c>
    </row>
    <row r="52" spans="1:2">
      <c r="A52">
        <v>4.9000000000000004</v>
      </c>
      <c r="B52">
        <f t="shared" si="4"/>
        <v>134.28977968493552</v>
      </c>
    </row>
    <row r="53" spans="1:2">
      <c r="A53">
        <v>5</v>
      </c>
      <c r="B53">
        <f t="shared" si="4"/>
        <v>148.4131591025766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6FAF-7032-4B8F-B7D9-3A6285263E5B}">
  <dimension ref="A1:I53"/>
  <sheetViews>
    <sheetView zoomScale="74" workbookViewId="0">
      <selection activeCell="F2" sqref="F2"/>
    </sheetView>
  </sheetViews>
  <sheetFormatPr defaultRowHeight="17.649999999999999"/>
  <sheetData>
    <row r="1" spans="1:9">
      <c r="E1" t="s">
        <v>3</v>
      </c>
      <c r="F1" t="s">
        <v>3</v>
      </c>
      <c r="G1" t="s">
        <v>3</v>
      </c>
    </row>
    <row r="2" spans="1:9">
      <c r="A2" t="s">
        <v>1</v>
      </c>
      <c r="B2" t="s">
        <v>0</v>
      </c>
      <c r="D2" t="s">
        <v>2</v>
      </c>
      <c r="E2" t="s">
        <v>7</v>
      </c>
      <c r="F2" t="s">
        <v>8</v>
      </c>
      <c r="G2" t="s">
        <v>9</v>
      </c>
      <c r="H2" t="s">
        <v>10</v>
      </c>
      <c r="I2" t="s">
        <v>4</v>
      </c>
    </row>
    <row r="3" spans="1:9">
      <c r="A3">
        <v>0</v>
      </c>
      <c r="B3">
        <f>EXP(A3)</f>
        <v>1</v>
      </c>
      <c r="D3">
        <v>1</v>
      </c>
      <c r="E3">
        <f>1+0.2*ABS(SIN(2*PI()*D3/12))</f>
        <v>1.1000000000000001</v>
      </c>
      <c r="F3">
        <f>1+0.2*ABS(SIN(2*PI()*D3/12+PI()*6/12))</f>
        <v>1.1732050807568877</v>
      </c>
      <c r="G3">
        <f>1+0.2*ABS(SIN(2*PI()*D3/12+PI()/3))</f>
        <v>1.2</v>
      </c>
      <c r="H3">
        <f>1+0.2*ABS(SIN(2*PI()*D3/12+PI()/6))</f>
        <v>1.1732050807568877</v>
      </c>
      <c r="I3">
        <f>1+0.2*ABS(SIN(2*PI()*D3/24))</f>
        <v>1.0517638090205041</v>
      </c>
    </row>
    <row r="4" spans="1:9">
      <c r="A4">
        <v>0.1</v>
      </c>
      <c r="B4">
        <f>EXP(-A4)</f>
        <v>0.90483741803595952</v>
      </c>
      <c r="D4">
        <v>2</v>
      </c>
      <c r="E4">
        <f t="shared" ref="E4:F14" si="0">1+0.2*ABS(SIN(2*PI()*D4/12))</f>
        <v>1.1732050807568877</v>
      </c>
      <c r="F4">
        <f t="shared" ref="F4:F14" si="1">1+0.2*ABS(SIN(2*PI()*D4/12+PI()*6/12))</f>
        <v>1.1000000000000001</v>
      </c>
      <c r="G4">
        <f t="shared" ref="G4:G14" si="2">1+0.2*ABS(SIN(2*PI()*D4/12+PI()/3))</f>
        <v>1.1732050807568877</v>
      </c>
      <c r="H4">
        <f t="shared" ref="H4:H14" si="3">1+0.2*ABS(SIN(2*PI()*D4/12+PI()/6))</f>
        <v>1.2</v>
      </c>
      <c r="I4">
        <f>1+0.2*ABS(SIN(2*PI()*D4/24))</f>
        <v>1.1000000000000001</v>
      </c>
    </row>
    <row r="5" spans="1:9">
      <c r="A5">
        <v>0.2</v>
      </c>
      <c r="B5">
        <f t="shared" ref="B5:B53" si="4">EXP(A5)</f>
        <v>1.2214027581601699</v>
      </c>
      <c r="D5">
        <v>3</v>
      </c>
      <c r="E5">
        <f t="shared" si="0"/>
        <v>1.2</v>
      </c>
      <c r="F5">
        <f t="shared" si="1"/>
        <v>1</v>
      </c>
      <c r="G5">
        <f t="shared" si="2"/>
        <v>1.1000000000000001</v>
      </c>
      <c r="H5">
        <f t="shared" si="3"/>
        <v>1.1732050807568877</v>
      </c>
      <c r="I5">
        <f>1+0.2*ABS(SIN(2*PI()*D5/24))</f>
        <v>1.1414213562373094</v>
      </c>
    </row>
    <row r="6" spans="1:9">
      <c r="A6">
        <v>0.3</v>
      </c>
      <c r="B6">
        <f t="shared" si="4"/>
        <v>1.3498588075760032</v>
      </c>
      <c r="D6">
        <v>4</v>
      </c>
      <c r="E6">
        <f t="shared" si="0"/>
        <v>1.1732050807568877</v>
      </c>
      <c r="F6">
        <f t="shared" si="1"/>
        <v>1.0999999999999999</v>
      </c>
      <c r="G6">
        <f t="shared" si="2"/>
        <v>1</v>
      </c>
      <c r="H6">
        <f t="shared" si="3"/>
        <v>1.1000000000000001</v>
      </c>
      <c r="I6">
        <f>1+0.2*ABS(SIN(2*PI()*D6/24))</f>
        <v>1.1732050807568877</v>
      </c>
    </row>
    <row r="7" spans="1:9">
      <c r="A7">
        <v>0.4</v>
      </c>
      <c r="B7">
        <f t="shared" si="4"/>
        <v>1.4918246976412703</v>
      </c>
      <c r="D7">
        <v>5</v>
      </c>
      <c r="E7">
        <f t="shared" si="0"/>
        <v>1.1000000000000001</v>
      </c>
      <c r="F7">
        <f t="shared" si="1"/>
        <v>1.1732050807568877</v>
      </c>
      <c r="G7">
        <f t="shared" si="2"/>
        <v>1.1000000000000001</v>
      </c>
      <c r="H7">
        <f t="shared" si="3"/>
        <v>1</v>
      </c>
      <c r="I7">
        <f>1+0.2*ABS(SIN(2*PI()*D7/24))</f>
        <v>1.1931851652578136</v>
      </c>
    </row>
    <row r="8" spans="1:9">
      <c r="A8">
        <v>0.5</v>
      </c>
      <c r="B8">
        <f t="shared" si="4"/>
        <v>1.6487212707001282</v>
      </c>
      <c r="D8">
        <v>6</v>
      </c>
      <c r="E8">
        <f t="shared" si="0"/>
        <v>1</v>
      </c>
      <c r="F8">
        <f t="shared" si="1"/>
        <v>1.2</v>
      </c>
      <c r="G8">
        <f t="shared" si="2"/>
        <v>1.1732050807568877</v>
      </c>
      <c r="H8">
        <f t="shared" si="3"/>
        <v>1.0999999999999999</v>
      </c>
      <c r="I8">
        <f>1+0.2*ABS(SIN(2*PI()*D8/24))</f>
        <v>1.2</v>
      </c>
    </row>
    <row r="9" spans="1:9">
      <c r="A9">
        <v>0.6</v>
      </c>
      <c r="B9">
        <f t="shared" si="4"/>
        <v>1.8221188003905089</v>
      </c>
      <c r="D9">
        <v>7</v>
      </c>
      <c r="E9">
        <f t="shared" si="0"/>
        <v>1.0999999999999999</v>
      </c>
      <c r="F9">
        <f t="shared" si="1"/>
        <v>1.1732050807568879</v>
      </c>
      <c r="G9">
        <f t="shared" si="2"/>
        <v>1.2</v>
      </c>
      <c r="H9">
        <f t="shared" si="3"/>
        <v>1.1732050807568877</v>
      </c>
      <c r="I9">
        <f>1+0.2*ABS(SIN(2*PI()*D9/24))</f>
        <v>1.1931851652578136</v>
      </c>
    </row>
    <row r="10" spans="1:9">
      <c r="A10">
        <v>0.7</v>
      </c>
      <c r="B10">
        <f t="shared" si="4"/>
        <v>2.0137527074704766</v>
      </c>
      <c r="D10">
        <v>8</v>
      </c>
      <c r="E10">
        <f t="shared" si="0"/>
        <v>1.1732050807568877</v>
      </c>
      <c r="F10">
        <f t="shared" si="1"/>
        <v>1.1000000000000001</v>
      </c>
      <c r="G10">
        <f t="shared" si="2"/>
        <v>1.1732050807568879</v>
      </c>
      <c r="H10">
        <f t="shared" si="3"/>
        <v>1.2</v>
      </c>
      <c r="I10">
        <f>1+0.2*ABS(SIN(2*PI()*D10/24))</f>
        <v>1.1732050807568877</v>
      </c>
    </row>
    <row r="11" spans="1:9">
      <c r="A11">
        <v>0.8</v>
      </c>
      <c r="B11">
        <f t="shared" si="4"/>
        <v>2.2255409284924679</v>
      </c>
      <c r="D11">
        <v>9</v>
      </c>
      <c r="E11">
        <f t="shared" si="0"/>
        <v>1.2</v>
      </c>
      <c r="F11">
        <f t="shared" si="1"/>
        <v>1</v>
      </c>
      <c r="G11">
        <f t="shared" si="2"/>
        <v>1.1000000000000001</v>
      </c>
      <c r="H11">
        <f t="shared" si="3"/>
        <v>1.1732050807568877</v>
      </c>
      <c r="I11">
        <f>1+0.2*ABS(SIN(2*PI()*D11/24))</f>
        <v>1.1414213562373094</v>
      </c>
    </row>
    <row r="12" spans="1:9">
      <c r="A12">
        <v>0.9</v>
      </c>
      <c r="B12">
        <f t="shared" si="4"/>
        <v>2.4596031111569499</v>
      </c>
      <c r="D12">
        <v>10</v>
      </c>
      <c r="E12">
        <f t="shared" si="0"/>
        <v>1.1732050807568877</v>
      </c>
      <c r="F12">
        <f t="shared" si="1"/>
        <v>1.1000000000000001</v>
      </c>
      <c r="G12">
        <f t="shared" si="2"/>
        <v>1</v>
      </c>
      <c r="H12">
        <f t="shared" si="3"/>
        <v>1.0999999999999999</v>
      </c>
      <c r="I12">
        <f>1+0.2*ABS(SIN(2*PI()*D12/24))</f>
        <v>1.1000000000000001</v>
      </c>
    </row>
    <row r="13" spans="1:9">
      <c r="A13">
        <v>1</v>
      </c>
      <c r="B13">
        <f t="shared" si="4"/>
        <v>2.7182818284590451</v>
      </c>
      <c r="D13">
        <v>11</v>
      </c>
      <c r="E13">
        <f t="shared" si="0"/>
        <v>1.1000000000000001</v>
      </c>
      <c r="F13">
        <f t="shared" si="1"/>
        <v>1.1732050807568877</v>
      </c>
      <c r="G13">
        <f t="shared" si="2"/>
        <v>1.0999999999999999</v>
      </c>
      <c r="H13">
        <f t="shared" si="3"/>
        <v>1</v>
      </c>
      <c r="I13">
        <f>1+0.2*ABS(SIN(2*PI()*D13/24))</f>
        <v>1.0517638090205041</v>
      </c>
    </row>
    <row r="14" spans="1:9">
      <c r="A14">
        <v>1.1000000000000001</v>
      </c>
      <c r="B14">
        <f t="shared" si="4"/>
        <v>3.0041660239464334</v>
      </c>
      <c r="D14">
        <v>12</v>
      </c>
      <c r="E14">
        <f t="shared" si="0"/>
        <v>1</v>
      </c>
      <c r="F14">
        <f t="shared" si="1"/>
        <v>1.2</v>
      </c>
      <c r="G14">
        <f t="shared" si="2"/>
        <v>1.1732050807568877</v>
      </c>
      <c r="H14">
        <f t="shared" si="3"/>
        <v>1.1000000000000001</v>
      </c>
      <c r="I14">
        <f>1+0.2*ABS(SIN(2*PI()*D14/24))</f>
        <v>1</v>
      </c>
    </row>
    <row r="15" spans="1:9">
      <c r="A15">
        <v>1.2</v>
      </c>
      <c r="B15">
        <f t="shared" si="4"/>
        <v>3.3201169227365472</v>
      </c>
    </row>
    <row r="16" spans="1:9">
      <c r="A16">
        <v>1.3</v>
      </c>
      <c r="B16">
        <f t="shared" si="4"/>
        <v>3.6692966676192444</v>
      </c>
    </row>
    <row r="17" spans="1:2">
      <c r="A17">
        <v>1.4</v>
      </c>
      <c r="B17">
        <f t="shared" si="4"/>
        <v>4.0551999668446745</v>
      </c>
    </row>
    <row r="18" spans="1:2">
      <c r="A18">
        <v>1.5</v>
      </c>
      <c r="B18">
        <f t="shared" si="4"/>
        <v>4.4816890703380645</v>
      </c>
    </row>
    <row r="19" spans="1:2">
      <c r="A19">
        <v>1.6</v>
      </c>
      <c r="B19">
        <f t="shared" si="4"/>
        <v>4.9530324243951149</v>
      </c>
    </row>
    <row r="20" spans="1:2">
      <c r="A20">
        <v>1.7</v>
      </c>
      <c r="B20">
        <f t="shared" si="4"/>
        <v>5.4739473917271999</v>
      </c>
    </row>
    <row r="21" spans="1:2">
      <c r="A21">
        <v>1.8</v>
      </c>
      <c r="B21">
        <f t="shared" si="4"/>
        <v>6.0496474644129465</v>
      </c>
    </row>
    <row r="22" spans="1:2">
      <c r="A22">
        <v>1.9</v>
      </c>
      <c r="B22">
        <f t="shared" si="4"/>
        <v>6.6858944422792685</v>
      </c>
    </row>
    <row r="23" spans="1:2">
      <c r="A23">
        <v>2</v>
      </c>
      <c r="B23">
        <f t="shared" si="4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4"/>
        <v>9.025013499434122</v>
      </c>
    </row>
    <row r="26" spans="1:2">
      <c r="A26">
        <v>2.2999999999999998</v>
      </c>
      <c r="B26">
        <f t="shared" si="4"/>
        <v>9.9741824548147182</v>
      </c>
    </row>
    <row r="27" spans="1:2">
      <c r="A27">
        <v>2.4</v>
      </c>
      <c r="B27">
        <f t="shared" si="4"/>
        <v>11.023176380641601</v>
      </c>
    </row>
    <row r="28" spans="1:2">
      <c r="A28">
        <v>2.5</v>
      </c>
      <c r="B28">
        <f t="shared" si="4"/>
        <v>12.182493960703473</v>
      </c>
    </row>
    <row r="29" spans="1:2">
      <c r="A29">
        <v>2.6</v>
      </c>
      <c r="B29">
        <f t="shared" si="4"/>
        <v>13.463738035001692</v>
      </c>
    </row>
    <row r="30" spans="1:2">
      <c r="A30">
        <v>2.7</v>
      </c>
      <c r="B30">
        <f t="shared" si="4"/>
        <v>14.879731724872837</v>
      </c>
    </row>
    <row r="31" spans="1:2">
      <c r="A31">
        <v>2.8</v>
      </c>
      <c r="B31">
        <f t="shared" si="4"/>
        <v>16.444646771097048</v>
      </c>
    </row>
    <row r="32" spans="1:2">
      <c r="A32">
        <v>2.9</v>
      </c>
      <c r="B32">
        <f t="shared" si="4"/>
        <v>18.17414536944306</v>
      </c>
    </row>
    <row r="33" spans="1:2">
      <c r="A33">
        <v>3</v>
      </c>
      <c r="B33">
        <f t="shared" si="4"/>
        <v>20.085536923187668</v>
      </c>
    </row>
    <row r="34" spans="1:2">
      <c r="A34">
        <v>3.1</v>
      </c>
      <c r="B34">
        <f t="shared" si="4"/>
        <v>22.197951281441636</v>
      </c>
    </row>
    <row r="35" spans="1:2">
      <c r="A35">
        <v>3.2</v>
      </c>
      <c r="B35">
        <f t="shared" si="4"/>
        <v>24.532530197109352</v>
      </c>
    </row>
    <row r="36" spans="1:2">
      <c r="A36">
        <v>3.3</v>
      </c>
      <c r="B36">
        <f t="shared" si="4"/>
        <v>27.112638920657883</v>
      </c>
    </row>
    <row r="37" spans="1:2">
      <c r="A37">
        <v>3.4</v>
      </c>
      <c r="B37">
        <f t="shared" si="4"/>
        <v>29.964100047397011</v>
      </c>
    </row>
    <row r="38" spans="1:2">
      <c r="A38">
        <v>3.5</v>
      </c>
      <c r="B38">
        <f t="shared" si="4"/>
        <v>33.115451958692312</v>
      </c>
    </row>
    <row r="39" spans="1:2">
      <c r="A39">
        <v>3.6</v>
      </c>
      <c r="B39">
        <f t="shared" si="4"/>
        <v>36.598234443677988</v>
      </c>
    </row>
    <row r="40" spans="1:2">
      <c r="A40">
        <v>3.7</v>
      </c>
      <c r="B40">
        <f t="shared" si="4"/>
        <v>40.447304360067399</v>
      </c>
    </row>
    <row r="41" spans="1:2">
      <c r="A41">
        <v>3.8</v>
      </c>
      <c r="B41">
        <f t="shared" si="4"/>
        <v>44.701184493300815</v>
      </c>
    </row>
    <row r="42" spans="1:2">
      <c r="A42">
        <v>3.9</v>
      </c>
      <c r="B42">
        <f t="shared" si="4"/>
        <v>49.402449105530167</v>
      </c>
    </row>
    <row r="43" spans="1:2">
      <c r="A43">
        <v>4</v>
      </c>
      <c r="B43">
        <f t="shared" si="4"/>
        <v>54.598150033144236</v>
      </c>
    </row>
    <row r="44" spans="1:2">
      <c r="A44">
        <v>4.0999999999999996</v>
      </c>
      <c r="B44">
        <f t="shared" si="4"/>
        <v>60.34028759736195</v>
      </c>
    </row>
    <row r="45" spans="1:2">
      <c r="A45">
        <v>4.2</v>
      </c>
      <c r="B45">
        <f t="shared" si="4"/>
        <v>66.686331040925154</v>
      </c>
    </row>
    <row r="46" spans="1:2">
      <c r="A46">
        <v>4.3</v>
      </c>
      <c r="B46">
        <f t="shared" si="4"/>
        <v>73.699793699595787</v>
      </c>
    </row>
    <row r="47" spans="1:2">
      <c r="A47">
        <v>4.4000000000000004</v>
      </c>
      <c r="B47">
        <f t="shared" si="4"/>
        <v>81.450868664968141</v>
      </c>
    </row>
    <row r="48" spans="1:2">
      <c r="A48">
        <v>4.5</v>
      </c>
      <c r="B48">
        <f t="shared" si="4"/>
        <v>90.017131300521811</v>
      </c>
    </row>
    <row r="49" spans="1:2">
      <c r="A49">
        <v>4.5999999999999996</v>
      </c>
      <c r="B49">
        <f t="shared" si="4"/>
        <v>99.484315641933776</v>
      </c>
    </row>
    <row r="50" spans="1:2">
      <c r="A50">
        <v>4.7</v>
      </c>
      <c r="B50">
        <f t="shared" si="4"/>
        <v>109.94717245212352</v>
      </c>
    </row>
    <row r="51" spans="1:2">
      <c r="A51">
        <v>4.8</v>
      </c>
      <c r="B51">
        <f t="shared" si="4"/>
        <v>121.51041751873485</v>
      </c>
    </row>
    <row r="52" spans="1:2">
      <c r="A52">
        <v>4.9000000000000004</v>
      </c>
      <c r="B52">
        <f t="shared" si="4"/>
        <v>134.28977968493552</v>
      </c>
    </row>
    <row r="53" spans="1:2">
      <c r="A53">
        <v>5</v>
      </c>
      <c r="B53">
        <f t="shared" si="4"/>
        <v>148.4131591025766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628B3-74D8-4349-9C23-134002BA10DA}">
  <dimension ref="A1:J53"/>
  <sheetViews>
    <sheetView zoomScale="74" workbookViewId="0">
      <selection activeCell="S14" sqref="S14"/>
    </sheetView>
  </sheetViews>
  <sheetFormatPr defaultRowHeight="17.649999999999999"/>
  <sheetData>
    <row r="1" spans="1:10">
      <c r="E1" t="s">
        <v>3</v>
      </c>
      <c r="F1" t="s">
        <v>3</v>
      </c>
      <c r="G1" t="s">
        <v>3</v>
      </c>
    </row>
    <row r="2" spans="1:10">
      <c r="A2" t="s">
        <v>1</v>
      </c>
      <c r="B2" t="s">
        <v>0</v>
      </c>
      <c r="D2" t="s">
        <v>2</v>
      </c>
      <c r="E2" t="s">
        <v>7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</row>
    <row r="3" spans="1:10">
      <c r="A3">
        <v>0</v>
      </c>
      <c r="B3">
        <f>EXP(A3)</f>
        <v>1</v>
      </c>
      <c r="D3">
        <v>1</v>
      </c>
      <c r="E3">
        <f>1+0.2*ABS(SIN(2*PI()*D3/24))</f>
        <v>1.0517638090205041</v>
      </c>
      <c r="F3">
        <f>1+0.2*ABS(SIN(2*PI()*D3/24-PI()/12))</f>
        <v>1</v>
      </c>
      <c r="G3">
        <f>1+0.2*ABS(SIN(2*PI()*D3/24-PI()/6))</f>
        <v>1.0517638090205041</v>
      </c>
      <c r="H3">
        <f>1+0.2*ABS(SIN(2*PI()*D3/24-PI()/2))</f>
        <v>1.1931851652578136</v>
      </c>
      <c r="I3">
        <f>1+0.2*ABS(SIN(2*PI()*D3/24+5*PI()/12))</f>
        <v>1.2</v>
      </c>
      <c r="J3">
        <f>1+0.2*ABS(SIN(2*PI()*D3/24-3*PI()/2))</f>
        <v>1.1931851652578136</v>
      </c>
    </row>
    <row r="4" spans="1:10">
      <c r="A4">
        <v>0.1</v>
      </c>
      <c r="B4">
        <f>EXP(-A4)</f>
        <v>0.90483741803595952</v>
      </c>
      <c r="D4">
        <v>2</v>
      </c>
      <c r="E4">
        <f t="shared" ref="E4:F14" si="0">1+0.2*ABS(SIN(2*PI()*D4/24))</f>
        <v>1.1000000000000001</v>
      </c>
      <c r="F4">
        <f t="shared" ref="F4:F14" si="1">1+0.2*ABS(SIN(2*PI()*D4/24-PI()/12))</f>
        <v>1.0517638090205041</v>
      </c>
      <c r="G4">
        <f t="shared" ref="G4:G14" si="2">1+0.2*ABS(SIN(2*PI()*D4/24-PI()/6))</f>
        <v>1</v>
      </c>
      <c r="H4">
        <f t="shared" ref="H4:J14" si="3">1+0.2*ABS(SIN(2*PI()*D4/24-PI()/2))</f>
        <v>1.1732050807568877</v>
      </c>
      <c r="I4">
        <f t="shared" ref="I4:I14" si="4">1+0.2*ABS(SIN(2*PI()*D4/24+5*PI()/12))</f>
        <v>1.1931851652578136</v>
      </c>
      <c r="J4">
        <f t="shared" ref="J4:J14" si="5">1+0.2*ABS(SIN(2*PI()*D4/24-3*PI()/2))</f>
        <v>1.1732050807568877</v>
      </c>
    </row>
    <row r="5" spans="1:10">
      <c r="A5">
        <v>0.2</v>
      </c>
      <c r="B5">
        <f t="shared" ref="B5:B53" si="6">EXP(A5)</f>
        <v>1.2214027581601699</v>
      </c>
      <c r="D5">
        <v>3</v>
      </c>
      <c r="E5">
        <f t="shared" si="0"/>
        <v>1.1414213562373094</v>
      </c>
      <c r="F5">
        <f t="shared" si="1"/>
        <v>1.1000000000000001</v>
      </c>
      <c r="G5">
        <f t="shared" si="2"/>
        <v>1.0517638090205041</v>
      </c>
      <c r="H5">
        <f t="shared" si="3"/>
        <v>1.1414213562373094</v>
      </c>
      <c r="I5">
        <f t="shared" si="4"/>
        <v>1.1732050807568877</v>
      </c>
      <c r="J5">
        <f t="shared" si="5"/>
        <v>1.1414213562373094</v>
      </c>
    </row>
    <row r="6" spans="1:10">
      <c r="A6">
        <v>0.3</v>
      </c>
      <c r="B6">
        <f t="shared" si="6"/>
        <v>1.3498588075760032</v>
      </c>
      <c r="D6">
        <v>4</v>
      </c>
      <c r="E6">
        <f t="shared" si="0"/>
        <v>1.1732050807568877</v>
      </c>
      <c r="F6">
        <f t="shared" si="1"/>
        <v>1.1414213562373094</v>
      </c>
      <c r="G6">
        <f t="shared" si="2"/>
        <v>1.1000000000000001</v>
      </c>
      <c r="H6">
        <f t="shared" si="3"/>
        <v>1.1000000000000001</v>
      </c>
      <c r="I6">
        <f t="shared" si="4"/>
        <v>1.1414213562373094</v>
      </c>
      <c r="J6">
        <f t="shared" si="5"/>
        <v>1.1000000000000001</v>
      </c>
    </row>
    <row r="7" spans="1:10">
      <c r="A7">
        <v>0.4</v>
      </c>
      <c r="B7">
        <f t="shared" si="6"/>
        <v>1.4918246976412703</v>
      </c>
      <c r="D7">
        <v>5</v>
      </c>
      <c r="E7">
        <f t="shared" si="0"/>
        <v>1.1931851652578136</v>
      </c>
      <c r="F7">
        <f t="shared" si="1"/>
        <v>1.1732050807568877</v>
      </c>
      <c r="G7">
        <f t="shared" si="2"/>
        <v>1.1414213562373094</v>
      </c>
      <c r="H7">
        <f t="shared" si="3"/>
        <v>1.0517638090205041</v>
      </c>
      <c r="I7">
        <f t="shared" si="4"/>
        <v>1.1000000000000001</v>
      </c>
      <c r="J7">
        <f t="shared" si="5"/>
        <v>1.0517638090205041</v>
      </c>
    </row>
    <row r="8" spans="1:10">
      <c r="A8">
        <v>0.5</v>
      </c>
      <c r="B8">
        <f t="shared" si="6"/>
        <v>1.6487212707001282</v>
      </c>
      <c r="D8">
        <v>6</v>
      </c>
      <c r="E8">
        <f t="shared" si="0"/>
        <v>1.2</v>
      </c>
      <c r="F8">
        <f t="shared" si="1"/>
        <v>1.1931851652578136</v>
      </c>
      <c r="G8">
        <f t="shared" si="2"/>
        <v>1.1732050807568877</v>
      </c>
      <c r="H8">
        <f t="shared" si="3"/>
        <v>1</v>
      </c>
      <c r="I8">
        <f t="shared" si="4"/>
        <v>1.0517638090205041</v>
      </c>
      <c r="J8">
        <f t="shared" si="5"/>
        <v>1</v>
      </c>
    </row>
    <row r="9" spans="1:10">
      <c r="A9">
        <v>0.6</v>
      </c>
      <c r="B9">
        <f t="shared" si="6"/>
        <v>1.8221188003905089</v>
      </c>
      <c r="D9">
        <v>7</v>
      </c>
      <c r="E9">
        <f t="shared" si="0"/>
        <v>1.1931851652578136</v>
      </c>
      <c r="F9">
        <f t="shared" si="1"/>
        <v>1.2</v>
      </c>
      <c r="G9">
        <f t="shared" si="2"/>
        <v>1.1931851652578136</v>
      </c>
      <c r="H9">
        <f t="shared" si="3"/>
        <v>1.0517638090205041</v>
      </c>
      <c r="I9">
        <f t="shared" si="4"/>
        <v>1</v>
      </c>
      <c r="J9">
        <f t="shared" si="5"/>
        <v>1.0517638090205041</v>
      </c>
    </row>
    <row r="10" spans="1:10">
      <c r="A10">
        <v>0.7</v>
      </c>
      <c r="B10">
        <f t="shared" si="6"/>
        <v>2.0137527074704766</v>
      </c>
      <c r="D10">
        <v>8</v>
      </c>
      <c r="E10">
        <f t="shared" si="0"/>
        <v>1.1732050807568877</v>
      </c>
      <c r="F10">
        <f t="shared" si="1"/>
        <v>1.1931851652578136</v>
      </c>
      <c r="G10">
        <f t="shared" si="2"/>
        <v>1.2</v>
      </c>
      <c r="H10">
        <f t="shared" si="3"/>
        <v>1.1000000000000001</v>
      </c>
      <c r="I10">
        <f t="shared" si="4"/>
        <v>1.0517638090205041</v>
      </c>
      <c r="J10">
        <f t="shared" si="5"/>
        <v>1.1000000000000001</v>
      </c>
    </row>
    <row r="11" spans="1:10">
      <c r="A11">
        <v>0.8</v>
      </c>
      <c r="B11">
        <f t="shared" si="6"/>
        <v>2.2255409284924679</v>
      </c>
      <c r="D11">
        <v>9</v>
      </c>
      <c r="E11">
        <f t="shared" si="0"/>
        <v>1.1414213562373094</v>
      </c>
      <c r="F11">
        <f t="shared" si="1"/>
        <v>1.1732050807568877</v>
      </c>
      <c r="G11">
        <f t="shared" si="2"/>
        <v>1.1931851652578136</v>
      </c>
      <c r="H11">
        <f t="shared" si="3"/>
        <v>1.1414213562373094</v>
      </c>
      <c r="I11">
        <f t="shared" si="4"/>
        <v>1.1000000000000001</v>
      </c>
      <c r="J11">
        <f t="shared" si="5"/>
        <v>1.1414213562373094</v>
      </c>
    </row>
    <row r="12" spans="1:10">
      <c r="A12">
        <v>0.9</v>
      </c>
      <c r="B12">
        <f t="shared" si="6"/>
        <v>2.4596031111569499</v>
      </c>
      <c r="D12">
        <v>10</v>
      </c>
      <c r="E12">
        <f t="shared" si="0"/>
        <v>1.1000000000000001</v>
      </c>
      <c r="F12">
        <f t="shared" si="1"/>
        <v>1.1414213562373094</v>
      </c>
      <c r="G12">
        <f t="shared" si="2"/>
        <v>1.1732050807568877</v>
      </c>
      <c r="H12">
        <f t="shared" si="3"/>
        <v>1.1732050807568877</v>
      </c>
      <c r="I12">
        <f t="shared" si="4"/>
        <v>1.1414213562373094</v>
      </c>
      <c r="J12">
        <f t="shared" si="5"/>
        <v>1.1732050807568877</v>
      </c>
    </row>
    <row r="13" spans="1:10">
      <c r="A13">
        <v>1</v>
      </c>
      <c r="B13">
        <f t="shared" si="6"/>
        <v>2.7182818284590451</v>
      </c>
      <c r="D13">
        <v>11</v>
      </c>
      <c r="E13">
        <f t="shared" si="0"/>
        <v>1.0517638090205041</v>
      </c>
      <c r="F13">
        <f t="shared" si="1"/>
        <v>1.1000000000000001</v>
      </c>
      <c r="G13">
        <f t="shared" si="2"/>
        <v>1.1414213562373094</v>
      </c>
      <c r="H13">
        <f t="shared" si="3"/>
        <v>1.1931851652578136</v>
      </c>
      <c r="I13">
        <f t="shared" si="4"/>
        <v>1.1732050807568877</v>
      </c>
      <c r="J13">
        <f t="shared" si="5"/>
        <v>1.1931851652578136</v>
      </c>
    </row>
    <row r="14" spans="1:10">
      <c r="A14">
        <v>1.1000000000000001</v>
      </c>
      <c r="B14">
        <f t="shared" si="6"/>
        <v>3.0041660239464334</v>
      </c>
      <c r="D14">
        <v>12</v>
      </c>
      <c r="E14">
        <f t="shared" si="0"/>
        <v>1</v>
      </c>
      <c r="F14">
        <f t="shared" si="1"/>
        <v>1.0517638090205041</v>
      </c>
      <c r="G14">
        <f t="shared" si="2"/>
        <v>1.1000000000000001</v>
      </c>
      <c r="H14">
        <f t="shared" si="3"/>
        <v>1.2</v>
      </c>
      <c r="I14">
        <f t="shared" si="4"/>
        <v>1.1931851652578136</v>
      </c>
      <c r="J14">
        <f t="shared" si="5"/>
        <v>1.2</v>
      </c>
    </row>
    <row r="15" spans="1:10">
      <c r="A15">
        <v>1.2</v>
      </c>
      <c r="B15">
        <f t="shared" si="6"/>
        <v>3.3201169227365472</v>
      </c>
    </row>
    <row r="16" spans="1:10">
      <c r="A16">
        <v>1.3</v>
      </c>
      <c r="B16">
        <f t="shared" si="6"/>
        <v>3.6692966676192444</v>
      </c>
    </row>
    <row r="17" spans="1:2">
      <c r="A17">
        <v>1.4</v>
      </c>
      <c r="B17">
        <f t="shared" si="6"/>
        <v>4.0551999668446745</v>
      </c>
    </row>
    <row r="18" spans="1:2">
      <c r="A18">
        <v>1.5</v>
      </c>
      <c r="B18">
        <f t="shared" si="6"/>
        <v>4.4816890703380645</v>
      </c>
    </row>
    <row r="19" spans="1:2">
      <c r="A19">
        <v>1.6</v>
      </c>
      <c r="B19">
        <f t="shared" si="6"/>
        <v>4.9530324243951149</v>
      </c>
    </row>
    <row r="20" spans="1:2">
      <c r="A20">
        <v>1.7</v>
      </c>
      <c r="B20">
        <f t="shared" si="6"/>
        <v>5.4739473917271999</v>
      </c>
    </row>
    <row r="21" spans="1:2">
      <c r="A21">
        <v>1.8</v>
      </c>
      <c r="B21">
        <f t="shared" si="6"/>
        <v>6.0496474644129465</v>
      </c>
    </row>
    <row r="22" spans="1:2">
      <c r="A22">
        <v>1.9</v>
      </c>
      <c r="B22">
        <f t="shared" si="6"/>
        <v>6.6858944422792685</v>
      </c>
    </row>
    <row r="23" spans="1:2">
      <c r="A23">
        <v>2</v>
      </c>
      <c r="B23">
        <f t="shared" si="6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6"/>
        <v>9.025013499434122</v>
      </c>
    </row>
    <row r="26" spans="1:2">
      <c r="A26">
        <v>2.2999999999999998</v>
      </c>
      <c r="B26">
        <f t="shared" si="6"/>
        <v>9.9741824548147182</v>
      </c>
    </row>
    <row r="27" spans="1:2">
      <c r="A27">
        <v>2.4</v>
      </c>
      <c r="B27">
        <f t="shared" si="6"/>
        <v>11.023176380641601</v>
      </c>
    </row>
    <row r="28" spans="1:2">
      <c r="A28">
        <v>2.5</v>
      </c>
      <c r="B28">
        <f t="shared" si="6"/>
        <v>12.182493960703473</v>
      </c>
    </row>
    <row r="29" spans="1:2">
      <c r="A29">
        <v>2.6</v>
      </c>
      <c r="B29">
        <f t="shared" si="6"/>
        <v>13.463738035001692</v>
      </c>
    </row>
    <row r="30" spans="1:2">
      <c r="A30">
        <v>2.7</v>
      </c>
      <c r="B30">
        <f t="shared" si="6"/>
        <v>14.879731724872837</v>
      </c>
    </row>
    <row r="31" spans="1:2">
      <c r="A31">
        <v>2.8</v>
      </c>
      <c r="B31">
        <f t="shared" si="6"/>
        <v>16.444646771097048</v>
      </c>
    </row>
    <row r="32" spans="1:2">
      <c r="A32">
        <v>2.9</v>
      </c>
      <c r="B32">
        <f t="shared" si="6"/>
        <v>18.17414536944306</v>
      </c>
    </row>
    <row r="33" spans="1:2">
      <c r="A33">
        <v>3</v>
      </c>
      <c r="B33">
        <f t="shared" si="6"/>
        <v>20.085536923187668</v>
      </c>
    </row>
    <row r="34" spans="1:2">
      <c r="A34">
        <v>3.1</v>
      </c>
      <c r="B34">
        <f t="shared" si="6"/>
        <v>22.197951281441636</v>
      </c>
    </row>
    <row r="35" spans="1:2">
      <c r="A35">
        <v>3.2</v>
      </c>
      <c r="B35">
        <f t="shared" si="6"/>
        <v>24.532530197109352</v>
      </c>
    </row>
    <row r="36" spans="1:2">
      <c r="A36">
        <v>3.3</v>
      </c>
      <c r="B36">
        <f t="shared" si="6"/>
        <v>27.112638920657883</v>
      </c>
    </row>
    <row r="37" spans="1:2">
      <c r="A37">
        <v>3.4</v>
      </c>
      <c r="B37">
        <f t="shared" si="6"/>
        <v>29.964100047397011</v>
      </c>
    </row>
    <row r="38" spans="1:2">
      <c r="A38">
        <v>3.5</v>
      </c>
      <c r="B38">
        <f t="shared" si="6"/>
        <v>33.115451958692312</v>
      </c>
    </row>
    <row r="39" spans="1:2">
      <c r="A39">
        <v>3.6</v>
      </c>
      <c r="B39">
        <f t="shared" si="6"/>
        <v>36.598234443677988</v>
      </c>
    </row>
    <row r="40" spans="1:2">
      <c r="A40">
        <v>3.7</v>
      </c>
      <c r="B40">
        <f t="shared" si="6"/>
        <v>40.447304360067399</v>
      </c>
    </row>
    <row r="41" spans="1:2">
      <c r="A41">
        <v>3.8</v>
      </c>
      <c r="B41">
        <f t="shared" si="6"/>
        <v>44.701184493300815</v>
      </c>
    </row>
    <row r="42" spans="1:2">
      <c r="A42">
        <v>3.9</v>
      </c>
      <c r="B42">
        <f t="shared" si="6"/>
        <v>49.402449105530167</v>
      </c>
    </row>
    <row r="43" spans="1:2">
      <c r="A43">
        <v>4</v>
      </c>
      <c r="B43">
        <f t="shared" si="6"/>
        <v>54.598150033144236</v>
      </c>
    </row>
    <row r="44" spans="1:2">
      <c r="A44">
        <v>4.0999999999999996</v>
      </c>
      <c r="B44">
        <f t="shared" si="6"/>
        <v>60.34028759736195</v>
      </c>
    </row>
    <row r="45" spans="1:2">
      <c r="A45">
        <v>4.2</v>
      </c>
      <c r="B45">
        <f t="shared" si="6"/>
        <v>66.686331040925154</v>
      </c>
    </row>
    <row r="46" spans="1:2">
      <c r="A46">
        <v>4.3</v>
      </c>
      <c r="B46">
        <f t="shared" si="6"/>
        <v>73.699793699595787</v>
      </c>
    </row>
    <row r="47" spans="1:2">
      <c r="A47">
        <v>4.4000000000000004</v>
      </c>
      <c r="B47">
        <f t="shared" si="6"/>
        <v>81.450868664968141</v>
      </c>
    </row>
    <row r="48" spans="1:2">
      <c r="A48">
        <v>4.5</v>
      </c>
      <c r="B48">
        <f t="shared" si="6"/>
        <v>90.017131300521811</v>
      </c>
    </row>
    <row r="49" spans="1:2">
      <c r="A49">
        <v>4.5999999999999996</v>
      </c>
      <c r="B49">
        <f t="shared" si="6"/>
        <v>99.484315641933776</v>
      </c>
    </row>
    <row r="50" spans="1:2">
      <c r="A50">
        <v>4.7</v>
      </c>
      <c r="B50">
        <f t="shared" si="6"/>
        <v>109.94717245212352</v>
      </c>
    </row>
    <row r="51" spans="1:2">
      <c r="A51">
        <v>4.8</v>
      </c>
      <c r="B51">
        <f t="shared" si="6"/>
        <v>121.51041751873485</v>
      </c>
    </row>
    <row r="52" spans="1:2">
      <c r="A52">
        <v>4.9000000000000004</v>
      </c>
      <c r="B52">
        <f t="shared" si="6"/>
        <v>134.28977968493552</v>
      </c>
    </row>
    <row r="53" spans="1:2">
      <c r="A53">
        <v>5</v>
      </c>
      <c r="B53">
        <f t="shared" si="6"/>
        <v>148.4131591025766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43E43-EEB4-473B-BA4D-E9D3CF05EB86}">
  <dimension ref="A1:J84"/>
  <sheetViews>
    <sheetView topLeftCell="A43" workbookViewId="0">
      <selection activeCell="F7" sqref="F7"/>
    </sheetView>
  </sheetViews>
  <sheetFormatPr defaultRowHeight="17.649999999999999"/>
  <sheetData>
    <row r="1" spans="1:10">
      <c r="A1" t="s">
        <v>17</v>
      </c>
    </row>
    <row r="3" spans="1:10">
      <c r="A3" t="s">
        <v>16</v>
      </c>
      <c r="B3" t="s">
        <v>0</v>
      </c>
      <c r="D3" t="s">
        <v>16</v>
      </c>
      <c r="E3" t="s">
        <v>0</v>
      </c>
      <c r="H3" t="s">
        <v>19</v>
      </c>
      <c r="I3" t="s">
        <v>20</v>
      </c>
      <c r="J3" t="s">
        <v>21</v>
      </c>
    </row>
    <row r="4" spans="1:10">
      <c r="A4">
        <v>-0.4</v>
      </c>
      <c r="B4">
        <f>EXP(A4)</f>
        <v>0.67032004603563933</v>
      </c>
      <c r="D4" s="1">
        <v>-0.1</v>
      </c>
      <c r="E4" s="1">
        <f t="shared" ref="E4:E34" si="0">EXP(D4)</f>
        <v>0.90483741803595952</v>
      </c>
      <c r="F4" t="s">
        <v>16</v>
      </c>
      <c r="G4" t="s">
        <v>18</v>
      </c>
      <c r="H4">
        <v>5.0000000000000001E-3</v>
      </c>
      <c r="I4">
        <v>1.5</v>
      </c>
      <c r="J4">
        <f>(LOG(2,EXP(1))/H4)</f>
        <v>138.62943611198907</v>
      </c>
    </row>
    <row r="5" spans="1:10">
      <c r="A5">
        <v>-0.39</v>
      </c>
      <c r="B5">
        <f t="shared" ref="B5:B68" si="1">EXP(A5)</f>
        <v>0.67705687449816465</v>
      </c>
      <c r="D5" s="1">
        <v>-0.09</v>
      </c>
      <c r="E5" s="1">
        <f t="shared" si="0"/>
        <v>0.91393118527122819</v>
      </c>
      <c r="F5">
        <v>0</v>
      </c>
      <c r="G5">
        <v>1</v>
      </c>
      <c r="H5">
        <f>H4*G5</f>
        <v>5.0000000000000001E-3</v>
      </c>
      <c r="I5">
        <v>1.5</v>
      </c>
      <c r="J5">
        <f>(LOG(2,EXP(1))/H5)</f>
        <v>138.62943611198907</v>
      </c>
    </row>
    <row r="6" spans="1:10">
      <c r="A6">
        <v>-0.38</v>
      </c>
      <c r="B6">
        <f t="shared" si="1"/>
        <v>0.68386140921235583</v>
      </c>
      <c r="D6" s="1">
        <v>-0.08</v>
      </c>
      <c r="E6" s="1">
        <f t="shared" si="0"/>
        <v>0.92311634638663576</v>
      </c>
      <c r="F6">
        <v>0.4</v>
      </c>
      <c r="G6">
        <v>1.5</v>
      </c>
      <c r="H6">
        <f>H4*G6</f>
        <v>7.4999999999999997E-3</v>
      </c>
      <c r="I6">
        <v>1.5</v>
      </c>
      <c r="J6">
        <f>(LOG(2,EXP(1))/H6)</f>
        <v>92.419624074659382</v>
      </c>
    </row>
    <row r="7" spans="1:10">
      <c r="A7">
        <v>-0.37</v>
      </c>
      <c r="B7">
        <f t="shared" si="1"/>
        <v>0.69073433063735468</v>
      </c>
      <c r="D7" s="1">
        <v>-7.0000000000000007E-2</v>
      </c>
      <c r="E7" s="1">
        <f t="shared" si="0"/>
        <v>0.93239381990594827</v>
      </c>
    </row>
    <row r="8" spans="1:10">
      <c r="A8">
        <v>-0.36</v>
      </c>
      <c r="B8">
        <f t="shared" si="1"/>
        <v>0.69767632607103103</v>
      </c>
      <c r="D8" s="1">
        <v>-0.06</v>
      </c>
      <c r="E8" s="1">
        <f t="shared" si="0"/>
        <v>0.94176453358424872</v>
      </c>
      <c r="H8" t="s">
        <v>19</v>
      </c>
      <c r="I8" t="s">
        <v>20</v>
      </c>
      <c r="J8" t="s">
        <v>21</v>
      </c>
    </row>
    <row r="9" spans="1:10">
      <c r="A9">
        <v>-0.35</v>
      </c>
      <c r="B9">
        <f t="shared" si="1"/>
        <v>0.70468808971871344</v>
      </c>
      <c r="D9" s="1">
        <v>-0.05</v>
      </c>
      <c r="E9" s="1">
        <f t="shared" si="0"/>
        <v>0.95122942450071402</v>
      </c>
      <c r="F9" t="s">
        <v>16</v>
      </c>
      <c r="G9" t="s">
        <v>22</v>
      </c>
      <c r="H9">
        <v>1E-3</v>
      </c>
      <c r="I9">
        <v>1.5</v>
      </c>
      <c r="J9">
        <f>(1/(H9^(1/I9)))</f>
        <v>99.999999999999957</v>
      </c>
    </row>
    <row r="10" spans="1:10">
      <c r="A10">
        <v>-0.34</v>
      </c>
      <c r="B10">
        <f t="shared" si="1"/>
        <v>0.71177032276260965</v>
      </c>
      <c r="D10" s="1">
        <v>-0.04</v>
      </c>
      <c r="E10" s="1">
        <f t="shared" si="0"/>
        <v>0.96078943915232318</v>
      </c>
      <c r="F10">
        <v>0</v>
      </c>
      <c r="G10">
        <v>1</v>
      </c>
      <c r="H10">
        <f>H9*G10</f>
        <v>1E-3</v>
      </c>
      <c r="I10">
        <v>1.5</v>
      </c>
      <c r="J10">
        <f t="shared" ref="J10:J11" si="2">(1/(H10^(1/I10)))</f>
        <v>99.999999999999957</v>
      </c>
    </row>
    <row r="11" spans="1:10">
      <c r="A11">
        <v>-0.33</v>
      </c>
      <c r="B11">
        <f t="shared" si="1"/>
        <v>0.71892373343192617</v>
      </c>
      <c r="D11" s="1">
        <v>-0.03</v>
      </c>
      <c r="E11" s="1">
        <f t="shared" si="0"/>
        <v>0.97044553354850815</v>
      </c>
      <c r="F11">
        <v>0.4</v>
      </c>
      <c r="G11">
        <v>1.5</v>
      </c>
      <c r="H11">
        <f>H9*G11</f>
        <v>1.5E-3</v>
      </c>
      <c r="I11">
        <v>1.5</v>
      </c>
      <c r="J11">
        <f t="shared" si="2"/>
        <v>76.314282836888765</v>
      </c>
    </row>
    <row r="12" spans="1:10">
      <c r="A12">
        <v>-0.32</v>
      </c>
      <c r="B12">
        <f t="shared" si="1"/>
        <v>0.72614903707369094</v>
      </c>
      <c r="D12" s="1">
        <v>-0.02</v>
      </c>
      <c r="E12" s="1">
        <f t="shared" si="0"/>
        <v>0.98019867330675525</v>
      </c>
    </row>
    <row r="13" spans="1:10">
      <c r="A13">
        <v>-0.31</v>
      </c>
      <c r="B13">
        <f t="shared" si="1"/>
        <v>0.73344695622428924</v>
      </c>
      <c r="D13" s="1">
        <v>-0.01</v>
      </c>
      <c r="E13" s="1">
        <f t="shared" si="0"/>
        <v>0.99004983374916811</v>
      </c>
    </row>
    <row r="14" spans="1:10">
      <c r="A14">
        <v>-0.3</v>
      </c>
      <c r="B14">
        <f t="shared" si="1"/>
        <v>0.74081822068171788</v>
      </c>
      <c r="D14" s="1">
        <v>0</v>
      </c>
      <c r="E14" s="1">
        <f t="shared" si="0"/>
        <v>1</v>
      </c>
    </row>
    <row r="15" spans="1:10">
      <c r="A15">
        <v>-0.28999999999999998</v>
      </c>
      <c r="B15">
        <f t="shared" si="1"/>
        <v>0.74826356757856527</v>
      </c>
      <c r="D15" s="1">
        <v>9.9999999999999499E-3</v>
      </c>
      <c r="E15" s="1">
        <f t="shared" si="0"/>
        <v>1.0100501670841679</v>
      </c>
    </row>
    <row r="16" spans="1:10">
      <c r="A16">
        <v>-0.28000000000000003</v>
      </c>
      <c r="B16">
        <f t="shared" si="1"/>
        <v>0.75578374145572547</v>
      </c>
      <c r="D16" s="1">
        <v>0.02</v>
      </c>
      <c r="E16" s="1">
        <f t="shared" si="0"/>
        <v>1.0202013400267558</v>
      </c>
    </row>
    <row r="17" spans="1:5">
      <c r="A17">
        <v>-0.27</v>
      </c>
      <c r="B17">
        <f t="shared" si="1"/>
        <v>0.76337949433685315</v>
      </c>
      <c r="D17" s="1">
        <v>0.03</v>
      </c>
      <c r="E17" s="1">
        <f t="shared" si="0"/>
        <v>1.0304545339535169</v>
      </c>
    </row>
    <row r="18" spans="1:5">
      <c r="A18">
        <v>-0.26</v>
      </c>
      <c r="B18">
        <f t="shared" si="1"/>
        <v>0.77105158580356625</v>
      </c>
      <c r="D18" s="1">
        <v>0.04</v>
      </c>
      <c r="E18" s="1">
        <f t="shared" si="0"/>
        <v>1.0408107741923882</v>
      </c>
    </row>
    <row r="19" spans="1:5">
      <c r="A19">
        <v>-0.25</v>
      </c>
      <c r="B19">
        <f t="shared" si="1"/>
        <v>0.77880078307140488</v>
      </c>
      <c r="D19" s="1">
        <v>0.05</v>
      </c>
      <c r="E19" s="1">
        <f t="shared" si="0"/>
        <v>1.0512710963760241</v>
      </c>
    </row>
    <row r="20" spans="1:5">
      <c r="A20">
        <v>-0.24</v>
      </c>
      <c r="B20">
        <f t="shared" si="1"/>
        <v>0.78662786106655347</v>
      </c>
      <c r="D20" s="1">
        <v>0.06</v>
      </c>
      <c r="E20" s="1">
        <f t="shared" si="0"/>
        <v>1.0618365465453596</v>
      </c>
    </row>
    <row r="21" spans="1:5">
      <c r="A21">
        <v>-0.23</v>
      </c>
      <c r="B21">
        <f t="shared" si="1"/>
        <v>0.79453360250333405</v>
      </c>
      <c r="D21" s="1">
        <v>7.0000000000000007E-2</v>
      </c>
      <c r="E21" s="1">
        <f t="shared" si="0"/>
        <v>1.0725081812542165</v>
      </c>
    </row>
    <row r="22" spans="1:5">
      <c r="A22">
        <v>-0.22</v>
      </c>
      <c r="B22">
        <f t="shared" si="1"/>
        <v>0.80251879796247849</v>
      </c>
      <c r="D22" s="1">
        <v>0.08</v>
      </c>
      <c r="E22" s="1">
        <f t="shared" si="0"/>
        <v>1.0832870676749586</v>
      </c>
    </row>
    <row r="23" spans="1:5">
      <c r="A23">
        <v>-0.21</v>
      </c>
      <c r="B23">
        <f t="shared" si="1"/>
        <v>0.81058424597018708</v>
      </c>
      <c r="D23" s="1">
        <v>0.09</v>
      </c>
      <c r="E23" s="1">
        <f t="shared" si="0"/>
        <v>1.0941742837052104</v>
      </c>
    </row>
    <row r="24" spans="1:5">
      <c r="A24">
        <v>-0.2</v>
      </c>
      <c r="B24">
        <f t="shared" si="1"/>
        <v>0.81873075307798182</v>
      </c>
      <c r="D24" s="1">
        <v>0.1</v>
      </c>
      <c r="E24" s="1">
        <f t="shared" si="0"/>
        <v>1.1051709180756477</v>
      </c>
    </row>
    <row r="25" spans="1:5">
      <c r="A25">
        <v>-0.19</v>
      </c>
      <c r="B25">
        <f t="shared" si="1"/>
        <v>0.82695913394336229</v>
      </c>
      <c r="D25" s="1">
        <v>0.11</v>
      </c>
      <c r="E25" s="1">
        <f t="shared" si="0"/>
        <v>1.1162780704588713</v>
      </c>
    </row>
    <row r="26" spans="1:5">
      <c r="A26">
        <v>-0.18</v>
      </c>
      <c r="B26">
        <f t="shared" si="1"/>
        <v>0.835270211411272</v>
      </c>
      <c r="D26" s="1">
        <v>0.12</v>
      </c>
      <c r="E26" s="1">
        <f t="shared" si="0"/>
        <v>1.1274968515793757</v>
      </c>
    </row>
    <row r="27" spans="1:5">
      <c r="A27">
        <v>-0.17</v>
      </c>
      <c r="B27">
        <f t="shared" si="1"/>
        <v>0.8436648165963837</v>
      </c>
      <c r="D27" s="1">
        <v>0.13</v>
      </c>
      <c r="E27" s="1">
        <f t="shared" si="0"/>
        <v>1.1388283833246218</v>
      </c>
    </row>
    <row r="28" spans="1:5">
      <c r="A28">
        <v>-0.16</v>
      </c>
      <c r="B28">
        <f t="shared" si="1"/>
        <v>0.85214378896621135</v>
      </c>
      <c r="D28" s="1">
        <v>0.14000000000000001</v>
      </c>
      <c r="E28" s="1">
        <f t="shared" si="0"/>
        <v>1.1502737988572274</v>
      </c>
    </row>
    <row r="29" spans="1:5">
      <c r="A29">
        <v>-0.15</v>
      </c>
      <c r="B29">
        <f t="shared" si="1"/>
        <v>0.86070797642505781</v>
      </c>
      <c r="D29" s="1">
        <v>0.15</v>
      </c>
      <c r="E29" s="1">
        <f t="shared" si="0"/>
        <v>1.1618342427282831</v>
      </c>
    </row>
    <row r="30" spans="1:5">
      <c r="A30">
        <v>-0.14000000000000001</v>
      </c>
      <c r="B30">
        <f t="shared" si="1"/>
        <v>0.86935823539880586</v>
      </c>
      <c r="D30" s="1">
        <v>0.16</v>
      </c>
      <c r="E30" s="1">
        <f t="shared" si="0"/>
        <v>1.1735108709918103</v>
      </c>
    </row>
    <row r="31" spans="1:5">
      <c r="A31">
        <v>-0.13</v>
      </c>
      <c r="B31">
        <f t="shared" si="1"/>
        <v>0.8780954309205613</v>
      </c>
      <c r="D31" s="1">
        <v>0.17000000000000101</v>
      </c>
      <c r="E31" s="1">
        <f t="shared" si="0"/>
        <v>1.1853048513203668</v>
      </c>
    </row>
    <row r="32" spans="1:5">
      <c r="A32">
        <v>-0.12</v>
      </c>
      <c r="B32">
        <f t="shared" si="1"/>
        <v>0.88692043671715748</v>
      </c>
      <c r="D32" s="1">
        <v>0.18000000000000099</v>
      </c>
      <c r="E32" s="1">
        <f t="shared" si="0"/>
        <v>1.1972173631218113</v>
      </c>
    </row>
    <row r="33" spans="1:5">
      <c r="A33">
        <v>-0.11</v>
      </c>
      <c r="B33">
        <f t="shared" si="1"/>
        <v>0.89583413529652822</v>
      </c>
      <c r="D33" s="1">
        <v>0.190000000000001</v>
      </c>
      <c r="E33" s="1">
        <f t="shared" si="0"/>
        <v>1.2092495976572526</v>
      </c>
    </row>
    <row r="34" spans="1:5">
      <c r="A34" s="1">
        <v>-0.1</v>
      </c>
      <c r="B34" s="1">
        <f t="shared" si="1"/>
        <v>0.90483741803595952</v>
      </c>
      <c r="D34" s="1">
        <v>0.20000000000000101</v>
      </c>
      <c r="E34" s="1">
        <f t="shared" si="0"/>
        <v>1.221402758160171</v>
      </c>
    </row>
    <row r="35" spans="1:5">
      <c r="A35" s="1">
        <v>-0.09</v>
      </c>
      <c r="B35" s="1">
        <f t="shared" si="1"/>
        <v>0.91393118527122819</v>
      </c>
    </row>
    <row r="36" spans="1:5">
      <c r="A36" s="1">
        <v>-0.08</v>
      </c>
      <c r="B36" s="1">
        <f t="shared" si="1"/>
        <v>0.92311634638663576</v>
      </c>
    </row>
    <row r="37" spans="1:5">
      <c r="A37" s="1">
        <v>-7.0000000000000007E-2</v>
      </c>
      <c r="B37" s="1">
        <f t="shared" si="1"/>
        <v>0.93239381990594827</v>
      </c>
    </row>
    <row r="38" spans="1:5">
      <c r="A38" s="1">
        <v>-0.06</v>
      </c>
      <c r="B38" s="1">
        <f t="shared" si="1"/>
        <v>0.94176453358424872</v>
      </c>
    </row>
    <row r="39" spans="1:5">
      <c r="A39" s="1">
        <v>-0.05</v>
      </c>
      <c r="B39" s="1">
        <f t="shared" si="1"/>
        <v>0.95122942450071402</v>
      </c>
    </row>
    <row r="40" spans="1:5">
      <c r="A40" s="1">
        <v>-0.04</v>
      </c>
      <c r="B40" s="1">
        <f t="shared" si="1"/>
        <v>0.96078943915232318</v>
      </c>
    </row>
    <row r="41" spans="1:5">
      <c r="A41" s="1">
        <v>-0.03</v>
      </c>
      <c r="B41" s="1">
        <f t="shared" si="1"/>
        <v>0.97044553354850815</v>
      </c>
    </row>
    <row r="42" spans="1:5">
      <c r="A42" s="1">
        <v>-0.02</v>
      </c>
      <c r="B42" s="1">
        <f t="shared" si="1"/>
        <v>0.98019867330675525</v>
      </c>
    </row>
    <row r="43" spans="1:5">
      <c r="A43" s="1">
        <v>-0.01</v>
      </c>
      <c r="B43" s="1">
        <f t="shared" si="1"/>
        <v>0.99004983374916811</v>
      </c>
    </row>
    <row r="44" spans="1:5">
      <c r="A44" s="1">
        <v>0</v>
      </c>
      <c r="B44" s="1">
        <f t="shared" si="1"/>
        <v>1</v>
      </c>
    </row>
    <row r="45" spans="1:5">
      <c r="A45" s="1">
        <v>9.9999999999999499E-3</v>
      </c>
      <c r="B45" s="1">
        <f t="shared" si="1"/>
        <v>1.0100501670841679</v>
      </c>
    </row>
    <row r="46" spans="1:5">
      <c r="A46" s="1">
        <v>0.02</v>
      </c>
      <c r="B46" s="1">
        <f t="shared" si="1"/>
        <v>1.0202013400267558</v>
      </c>
    </row>
    <row r="47" spans="1:5">
      <c r="A47" s="1">
        <v>0.03</v>
      </c>
      <c r="B47" s="1">
        <f t="shared" si="1"/>
        <v>1.0304545339535169</v>
      </c>
    </row>
    <row r="48" spans="1:5">
      <c r="A48" s="1">
        <v>0.04</v>
      </c>
      <c r="B48" s="1">
        <f t="shared" si="1"/>
        <v>1.0408107741923882</v>
      </c>
    </row>
    <row r="49" spans="1:2">
      <c r="A49" s="1">
        <v>0.05</v>
      </c>
      <c r="B49" s="1">
        <f t="shared" si="1"/>
        <v>1.0512710963760241</v>
      </c>
    </row>
    <row r="50" spans="1:2">
      <c r="A50" s="1">
        <v>0.06</v>
      </c>
      <c r="B50" s="1">
        <f t="shared" si="1"/>
        <v>1.0618365465453596</v>
      </c>
    </row>
    <row r="51" spans="1:2">
      <c r="A51" s="1">
        <v>7.0000000000000007E-2</v>
      </c>
      <c r="B51" s="1">
        <f t="shared" si="1"/>
        <v>1.0725081812542165</v>
      </c>
    </row>
    <row r="52" spans="1:2">
      <c r="A52" s="1">
        <v>0.08</v>
      </c>
      <c r="B52" s="1">
        <f t="shared" si="1"/>
        <v>1.0832870676749586</v>
      </c>
    </row>
    <row r="53" spans="1:2">
      <c r="A53" s="1">
        <v>0.09</v>
      </c>
      <c r="B53" s="1">
        <f t="shared" si="1"/>
        <v>1.0941742837052104</v>
      </c>
    </row>
    <row r="54" spans="1:2">
      <c r="A54" s="1">
        <v>0.1</v>
      </c>
      <c r="B54" s="1">
        <f t="shared" si="1"/>
        <v>1.1051709180756477</v>
      </c>
    </row>
    <row r="55" spans="1:2">
      <c r="A55" s="1">
        <v>0.11</v>
      </c>
      <c r="B55" s="1">
        <f t="shared" si="1"/>
        <v>1.1162780704588713</v>
      </c>
    </row>
    <row r="56" spans="1:2">
      <c r="A56" s="1">
        <v>0.12</v>
      </c>
      <c r="B56" s="1">
        <f t="shared" si="1"/>
        <v>1.1274968515793757</v>
      </c>
    </row>
    <row r="57" spans="1:2">
      <c r="A57" s="1">
        <v>0.13</v>
      </c>
      <c r="B57" s="1">
        <f t="shared" si="1"/>
        <v>1.1388283833246218</v>
      </c>
    </row>
    <row r="58" spans="1:2">
      <c r="A58" s="1">
        <v>0.14000000000000001</v>
      </c>
      <c r="B58" s="1">
        <f t="shared" si="1"/>
        <v>1.1502737988572274</v>
      </c>
    </row>
    <row r="59" spans="1:2">
      <c r="A59" s="1">
        <v>0.15</v>
      </c>
      <c r="B59" s="1">
        <f t="shared" si="1"/>
        <v>1.1618342427282831</v>
      </c>
    </row>
    <row r="60" spans="1:2">
      <c r="A60" s="1">
        <v>0.16</v>
      </c>
      <c r="B60" s="1">
        <f t="shared" si="1"/>
        <v>1.1735108709918103</v>
      </c>
    </row>
    <row r="61" spans="1:2">
      <c r="A61" s="1">
        <v>0.17000000000000101</v>
      </c>
      <c r="B61" s="1">
        <f t="shared" si="1"/>
        <v>1.1853048513203668</v>
      </c>
    </row>
    <row r="62" spans="1:2">
      <c r="A62" s="1">
        <v>0.18000000000000099</v>
      </c>
      <c r="B62" s="1">
        <f t="shared" si="1"/>
        <v>1.1972173631218113</v>
      </c>
    </row>
    <row r="63" spans="1:2">
      <c r="A63" s="1">
        <v>0.190000000000001</v>
      </c>
      <c r="B63" s="1">
        <f t="shared" si="1"/>
        <v>1.2092495976572526</v>
      </c>
    </row>
    <row r="64" spans="1:2">
      <c r="A64" s="1">
        <v>0.20000000000000101</v>
      </c>
      <c r="B64" s="1">
        <f t="shared" si="1"/>
        <v>1.221402758160171</v>
      </c>
    </row>
    <row r="65" spans="1:2">
      <c r="A65">
        <v>0.21000000000000099</v>
      </c>
      <c r="B65">
        <f t="shared" si="1"/>
        <v>1.2336780599567445</v>
      </c>
    </row>
    <row r="66" spans="1:2">
      <c r="A66">
        <v>0.220000000000001</v>
      </c>
      <c r="B66">
        <f t="shared" si="1"/>
        <v>1.2460767305873821</v>
      </c>
    </row>
    <row r="67" spans="1:2">
      <c r="A67">
        <v>0.23000000000000101</v>
      </c>
      <c r="B67">
        <f t="shared" si="1"/>
        <v>1.2586000099294792</v>
      </c>
    </row>
    <row r="68" spans="1:2">
      <c r="A68">
        <v>0.24000000000000099</v>
      </c>
      <c r="B68">
        <f t="shared" si="1"/>
        <v>1.2712491503214058</v>
      </c>
    </row>
    <row r="69" spans="1:2">
      <c r="A69">
        <v>0.250000000000001</v>
      </c>
      <c r="B69">
        <f t="shared" ref="B69:B84" si="3">EXP(A69)</f>
        <v>1.2840254166877427</v>
      </c>
    </row>
    <row r="70" spans="1:2">
      <c r="A70">
        <v>0.26000000000000101</v>
      </c>
      <c r="B70">
        <f t="shared" si="3"/>
        <v>1.2969300866657731</v>
      </c>
    </row>
    <row r="71" spans="1:2">
      <c r="A71">
        <v>0.27000000000000102</v>
      </c>
      <c r="B71">
        <f t="shared" si="3"/>
        <v>1.3099644507332486</v>
      </c>
    </row>
    <row r="72" spans="1:2">
      <c r="A72">
        <v>0.28000000000000103</v>
      </c>
      <c r="B72">
        <f t="shared" si="3"/>
        <v>1.3231298123374382</v>
      </c>
    </row>
    <row r="73" spans="1:2">
      <c r="A73">
        <v>0.29000000000000098</v>
      </c>
      <c r="B73">
        <f t="shared" si="3"/>
        <v>1.3364274880254734</v>
      </c>
    </row>
    <row r="74" spans="1:2">
      <c r="A74">
        <v>0.30000000000000099</v>
      </c>
      <c r="B74">
        <f t="shared" si="3"/>
        <v>1.3498588075760045</v>
      </c>
    </row>
    <row r="75" spans="1:2">
      <c r="A75">
        <v>0.310000000000001</v>
      </c>
      <c r="B75">
        <f t="shared" si="3"/>
        <v>1.3634251141321792</v>
      </c>
    </row>
    <row r="76" spans="1:2">
      <c r="A76">
        <v>0.32000000000000101</v>
      </c>
      <c r="B76">
        <f t="shared" si="3"/>
        <v>1.3771277643359585</v>
      </c>
    </row>
    <row r="77" spans="1:2">
      <c r="A77">
        <v>0.33000000000000101</v>
      </c>
      <c r="B77">
        <f t="shared" si="3"/>
        <v>1.3909681284637816</v>
      </c>
    </row>
    <row r="78" spans="1:2">
      <c r="A78">
        <v>0.34000000000000102</v>
      </c>
      <c r="B78">
        <f t="shared" si="3"/>
        <v>1.4049475905635953</v>
      </c>
    </row>
    <row r="79" spans="1:2">
      <c r="A79">
        <v>0.35000000000000098</v>
      </c>
      <c r="B79">
        <f t="shared" si="3"/>
        <v>1.4190675485932587</v>
      </c>
    </row>
    <row r="80" spans="1:2">
      <c r="A80">
        <v>0.36000000000000099</v>
      </c>
      <c r="B80">
        <f t="shared" si="3"/>
        <v>1.4333294145603417</v>
      </c>
    </row>
    <row r="81" spans="1:2">
      <c r="A81">
        <v>0.37000000000000099</v>
      </c>
      <c r="B81">
        <f t="shared" si="3"/>
        <v>1.4477346146633259</v>
      </c>
    </row>
    <row r="82" spans="1:2">
      <c r="A82">
        <v>0.380000000000001</v>
      </c>
      <c r="B82">
        <f t="shared" si="3"/>
        <v>1.462284589434226</v>
      </c>
    </row>
    <row r="83" spans="1:2">
      <c r="A83">
        <v>0.39000000000000101</v>
      </c>
      <c r="B83">
        <f t="shared" si="3"/>
        <v>1.476980793882644</v>
      </c>
    </row>
    <row r="84" spans="1:2">
      <c r="A84">
        <v>0.40000000000000102</v>
      </c>
      <c r="B84">
        <f t="shared" si="3"/>
        <v>1.4918246976412719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5FE98-DF82-4A18-AD5E-1E215721DB3A}">
  <dimension ref="A1:I53"/>
  <sheetViews>
    <sheetView tabSelected="1" zoomScale="74" workbookViewId="0">
      <selection activeCell="Q25" sqref="Q25"/>
    </sheetView>
  </sheetViews>
  <sheetFormatPr defaultRowHeight="17.649999999999999"/>
  <sheetData>
    <row r="1" spans="1:9">
      <c r="E1" t="s">
        <v>3</v>
      </c>
      <c r="F1" t="s">
        <v>3</v>
      </c>
      <c r="G1" t="s">
        <v>3</v>
      </c>
    </row>
    <row r="2" spans="1:9">
      <c r="A2" t="s">
        <v>1</v>
      </c>
      <c r="B2" t="s">
        <v>0</v>
      </c>
      <c r="D2" t="s">
        <v>2</v>
      </c>
      <c r="E2" t="s">
        <v>7</v>
      </c>
      <c r="F2" t="s">
        <v>8</v>
      </c>
      <c r="G2" t="s">
        <v>9</v>
      </c>
      <c r="H2" t="s">
        <v>10</v>
      </c>
      <c r="I2" t="s">
        <v>4</v>
      </c>
    </row>
    <row r="3" spans="1:9">
      <c r="A3">
        <v>0</v>
      </c>
      <c r="B3">
        <f>EXP(A3)</f>
        <v>1</v>
      </c>
      <c r="D3">
        <v>1</v>
      </c>
      <c r="E3">
        <f>0.4*ABS(SIN(2*PI()*D3/12))</f>
        <v>0.19999999999999998</v>
      </c>
      <c r="F3">
        <f>0.4*ABS(SIN(2*PI()*D3/12+PI()*6/12))</f>
        <v>0.34641016151377552</v>
      </c>
      <c r="G3">
        <f>0.4*ABS(SIN(2*PI()*D3/12+PI()/3))</f>
        <v>0.4</v>
      </c>
      <c r="H3">
        <f>0.4*ABS(SIN(2*PI()*D3/12+PI()/6))</f>
        <v>0.34641016151377546</v>
      </c>
      <c r="I3">
        <f>0.4*ABS(SIN(2*PI()*D3/24))</f>
        <v>0.1035276180410083</v>
      </c>
    </row>
    <row r="4" spans="1:9">
      <c r="A4">
        <v>0.1</v>
      </c>
      <c r="B4">
        <f>EXP(-A4)</f>
        <v>0.90483741803595952</v>
      </c>
      <c r="D4">
        <v>2</v>
      </c>
      <c r="E4">
        <f t="shared" ref="E4:E14" si="0">0.4*ABS(SIN(2*PI()*D4/12))</f>
        <v>0.34641016151377546</v>
      </c>
      <c r="F4">
        <f t="shared" ref="F4:F14" si="1">0.4*ABS(SIN(2*PI()*D4/12+PI()*6/12))</f>
        <v>0.20000000000000015</v>
      </c>
      <c r="G4">
        <f t="shared" ref="G4:G14" si="2">0.4*ABS(SIN(2*PI()*D4/12+PI()/3))</f>
        <v>0.34641016151377552</v>
      </c>
      <c r="H4">
        <f t="shared" ref="H4:H14" si="3">0.4*ABS(SIN(2*PI()*D4/12+PI()/6))</f>
        <v>0.4</v>
      </c>
      <c r="I4">
        <f t="shared" ref="I4:I14" si="4">0.4*ABS(SIN(2*PI()*D4/24))</f>
        <v>0.19999999999999998</v>
      </c>
    </row>
    <row r="5" spans="1:9">
      <c r="A5">
        <v>0.2</v>
      </c>
      <c r="B5">
        <f t="shared" ref="B5:B53" si="5">EXP(A5)</f>
        <v>1.2214027581601699</v>
      </c>
      <c r="D5">
        <v>3</v>
      </c>
      <c r="E5">
        <f t="shared" si="0"/>
        <v>0.4</v>
      </c>
      <c r="F5">
        <f t="shared" si="1"/>
        <v>4.90059381963448E-17</v>
      </c>
      <c r="G5">
        <f t="shared" si="2"/>
        <v>0.20000000000000015</v>
      </c>
      <c r="H5">
        <f t="shared" si="3"/>
        <v>0.34641016151377552</v>
      </c>
      <c r="I5">
        <f t="shared" si="4"/>
        <v>0.28284271247461901</v>
      </c>
    </row>
    <row r="6" spans="1:9">
      <c r="A6">
        <v>0.3</v>
      </c>
      <c r="B6">
        <f t="shared" si="5"/>
        <v>1.3498588075760032</v>
      </c>
      <c r="D6">
        <v>4</v>
      </c>
      <c r="E6">
        <f t="shared" si="0"/>
        <v>0.34641016151377552</v>
      </c>
      <c r="F6">
        <f t="shared" si="1"/>
        <v>0.1999999999999999</v>
      </c>
      <c r="G6">
        <f t="shared" si="2"/>
        <v>4.90059381963448E-17</v>
      </c>
      <c r="H6">
        <f t="shared" si="3"/>
        <v>0.20000000000000015</v>
      </c>
      <c r="I6">
        <f t="shared" si="4"/>
        <v>0.34641016151377546</v>
      </c>
    </row>
    <row r="7" spans="1:9">
      <c r="A7">
        <v>0.4</v>
      </c>
      <c r="B7">
        <f t="shared" si="5"/>
        <v>1.4918246976412703</v>
      </c>
      <c r="D7">
        <v>5</v>
      </c>
      <c r="E7">
        <f t="shared" si="0"/>
        <v>0.19999999999999998</v>
      </c>
      <c r="F7">
        <f t="shared" si="1"/>
        <v>0.34641016151377557</v>
      </c>
      <c r="G7">
        <f t="shared" si="2"/>
        <v>0.20000000000000007</v>
      </c>
      <c r="H7">
        <f t="shared" si="3"/>
        <v>4.90059381963448E-17</v>
      </c>
      <c r="I7">
        <f t="shared" si="4"/>
        <v>0.38637033051562736</v>
      </c>
    </row>
    <row r="8" spans="1:9">
      <c r="A8">
        <v>0.5</v>
      </c>
      <c r="B8">
        <f t="shared" si="5"/>
        <v>1.6487212707001282</v>
      </c>
      <c r="D8">
        <v>6</v>
      </c>
      <c r="E8">
        <f t="shared" si="0"/>
        <v>4.90059381963448E-17</v>
      </c>
      <c r="F8">
        <f t="shared" si="1"/>
        <v>0.4</v>
      </c>
      <c r="G8">
        <f t="shared" si="2"/>
        <v>0.34641016151377535</v>
      </c>
      <c r="H8">
        <f t="shared" si="3"/>
        <v>0.1999999999999999</v>
      </c>
      <c r="I8">
        <f t="shared" si="4"/>
        <v>0.4</v>
      </c>
    </row>
    <row r="9" spans="1:9">
      <c r="A9">
        <v>0.6</v>
      </c>
      <c r="B9">
        <f t="shared" si="5"/>
        <v>1.8221188003905089</v>
      </c>
      <c r="D9">
        <v>7</v>
      </c>
      <c r="E9">
        <f t="shared" si="0"/>
        <v>0.1999999999999999</v>
      </c>
      <c r="F9">
        <f t="shared" si="1"/>
        <v>0.34641016151377563</v>
      </c>
      <c r="G9">
        <f t="shared" si="2"/>
        <v>0.4</v>
      </c>
      <c r="H9">
        <f t="shared" si="3"/>
        <v>0.34641016151377535</v>
      </c>
      <c r="I9">
        <f t="shared" si="4"/>
        <v>0.38637033051562736</v>
      </c>
    </row>
    <row r="10" spans="1:9">
      <c r="A10">
        <v>0.7</v>
      </c>
      <c r="B10">
        <f t="shared" si="5"/>
        <v>2.0137527074704766</v>
      </c>
      <c r="D10">
        <v>8</v>
      </c>
      <c r="E10">
        <f t="shared" si="0"/>
        <v>0.34641016151377535</v>
      </c>
      <c r="F10">
        <f t="shared" si="1"/>
        <v>0.20000000000000018</v>
      </c>
      <c r="G10">
        <f t="shared" si="2"/>
        <v>0.34641016151377563</v>
      </c>
      <c r="H10">
        <f t="shared" si="3"/>
        <v>0.4</v>
      </c>
      <c r="I10">
        <f t="shared" si="4"/>
        <v>0.34641016151377552</v>
      </c>
    </row>
    <row r="11" spans="1:9">
      <c r="A11">
        <v>0.8</v>
      </c>
      <c r="B11">
        <f t="shared" si="5"/>
        <v>2.2255409284924679</v>
      </c>
      <c r="D11">
        <v>9</v>
      </c>
      <c r="E11">
        <f t="shared" si="0"/>
        <v>0.4</v>
      </c>
      <c r="F11">
        <f t="shared" si="1"/>
        <v>9.8011876392689601E-17</v>
      </c>
      <c r="G11">
        <f t="shared" si="2"/>
        <v>0.20000000000000018</v>
      </c>
      <c r="H11">
        <f t="shared" si="3"/>
        <v>0.34641016151377546</v>
      </c>
      <c r="I11">
        <f t="shared" si="4"/>
        <v>0.28284271247461906</v>
      </c>
    </row>
    <row r="12" spans="1:9">
      <c r="A12">
        <v>0.9</v>
      </c>
      <c r="B12">
        <f t="shared" si="5"/>
        <v>2.4596031111569499</v>
      </c>
      <c r="D12">
        <v>10</v>
      </c>
      <c r="E12">
        <f t="shared" si="0"/>
        <v>0.34641016151377546</v>
      </c>
      <c r="F12">
        <f t="shared" si="1"/>
        <v>0.2</v>
      </c>
      <c r="G12">
        <f t="shared" si="2"/>
        <v>9.8011876392689601E-17</v>
      </c>
      <c r="H12">
        <f t="shared" si="3"/>
        <v>0.19999999999999987</v>
      </c>
      <c r="I12">
        <f t="shared" si="4"/>
        <v>0.19999999999999998</v>
      </c>
    </row>
    <row r="13" spans="1:9">
      <c r="A13">
        <v>1</v>
      </c>
      <c r="B13">
        <f t="shared" si="5"/>
        <v>2.7182818284590451</v>
      </c>
      <c r="D13">
        <v>11</v>
      </c>
      <c r="E13">
        <f t="shared" si="0"/>
        <v>0.20000000000000018</v>
      </c>
      <c r="F13">
        <f t="shared" si="1"/>
        <v>0.34641016151377535</v>
      </c>
      <c r="G13">
        <f t="shared" si="2"/>
        <v>0.19999999999999973</v>
      </c>
      <c r="H13">
        <f t="shared" si="3"/>
        <v>9.8011876392689601E-17</v>
      </c>
      <c r="I13">
        <f t="shared" si="4"/>
        <v>0.10352761804100841</v>
      </c>
    </row>
    <row r="14" spans="1:9">
      <c r="A14">
        <v>1.1000000000000001</v>
      </c>
      <c r="B14">
        <f t="shared" si="5"/>
        <v>3.0041660239464334</v>
      </c>
      <c r="D14">
        <v>12</v>
      </c>
      <c r="E14">
        <f t="shared" si="0"/>
        <v>9.8011876392689601E-17</v>
      </c>
      <c r="F14">
        <f t="shared" si="1"/>
        <v>0.4</v>
      </c>
      <c r="G14">
        <f t="shared" si="2"/>
        <v>0.34641016151377535</v>
      </c>
      <c r="H14">
        <f t="shared" si="3"/>
        <v>0.2</v>
      </c>
      <c r="I14">
        <f t="shared" si="4"/>
        <v>4.90059381963448E-17</v>
      </c>
    </row>
    <row r="15" spans="1:9">
      <c r="A15">
        <v>1.2</v>
      </c>
      <c r="B15">
        <f t="shared" si="5"/>
        <v>3.3201169227365472</v>
      </c>
    </row>
    <row r="16" spans="1:9">
      <c r="A16">
        <v>1.3</v>
      </c>
      <c r="B16">
        <f t="shared" si="5"/>
        <v>3.6692966676192444</v>
      </c>
    </row>
    <row r="17" spans="1:2">
      <c r="A17">
        <v>1.4</v>
      </c>
      <c r="B17">
        <f t="shared" si="5"/>
        <v>4.0551999668446745</v>
      </c>
    </row>
    <row r="18" spans="1:2">
      <c r="A18">
        <v>1.5</v>
      </c>
      <c r="B18">
        <f t="shared" si="5"/>
        <v>4.4816890703380645</v>
      </c>
    </row>
    <row r="19" spans="1:2">
      <c r="A19">
        <v>1.6</v>
      </c>
      <c r="B19">
        <f t="shared" si="5"/>
        <v>4.9530324243951149</v>
      </c>
    </row>
    <row r="20" spans="1:2">
      <c r="A20">
        <v>1.7</v>
      </c>
      <c r="B20">
        <f t="shared" si="5"/>
        <v>5.4739473917271999</v>
      </c>
    </row>
    <row r="21" spans="1:2">
      <c r="A21">
        <v>1.8</v>
      </c>
      <c r="B21">
        <f t="shared" si="5"/>
        <v>6.0496474644129465</v>
      </c>
    </row>
    <row r="22" spans="1:2">
      <c r="A22">
        <v>1.9</v>
      </c>
      <c r="B22">
        <f t="shared" si="5"/>
        <v>6.6858944422792685</v>
      </c>
    </row>
    <row r="23" spans="1:2">
      <c r="A23">
        <v>2</v>
      </c>
      <c r="B23">
        <f t="shared" si="5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5"/>
        <v>9.025013499434122</v>
      </c>
    </row>
    <row r="26" spans="1:2">
      <c r="A26">
        <v>2.2999999999999998</v>
      </c>
      <c r="B26">
        <f t="shared" si="5"/>
        <v>9.9741824548147182</v>
      </c>
    </row>
    <row r="27" spans="1:2">
      <c r="A27">
        <v>2.4</v>
      </c>
      <c r="B27">
        <f t="shared" si="5"/>
        <v>11.023176380641601</v>
      </c>
    </row>
    <row r="28" spans="1:2">
      <c r="A28">
        <v>2.5</v>
      </c>
      <c r="B28">
        <f t="shared" si="5"/>
        <v>12.182493960703473</v>
      </c>
    </row>
    <row r="29" spans="1:2">
      <c r="A29">
        <v>2.6</v>
      </c>
      <c r="B29">
        <f t="shared" si="5"/>
        <v>13.463738035001692</v>
      </c>
    </row>
    <row r="30" spans="1:2">
      <c r="A30">
        <v>2.7</v>
      </c>
      <c r="B30">
        <f t="shared" si="5"/>
        <v>14.879731724872837</v>
      </c>
    </row>
    <row r="31" spans="1:2">
      <c r="A31">
        <v>2.8</v>
      </c>
      <c r="B31">
        <f t="shared" si="5"/>
        <v>16.444646771097048</v>
      </c>
    </row>
    <row r="32" spans="1:2">
      <c r="A32">
        <v>2.9</v>
      </c>
      <c r="B32">
        <f t="shared" si="5"/>
        <v>18.17414536944306</v>
      </c>
    </row>
    <row r="33" spans="1:2">
      <c r="A33">
        <v>3</v>
      </c>
      <c r="B33">
        <f t="shared" si="5"/>
        <v>20.085536923187668</v>
      </c>
    </row>
    <row r="34" spans="1:2">
      <c r="A34">
        <v>3.1</v>
      </c>
      <c r="B34">
        <f t="shared" si="5"/>
        <v>22.197951281441636</v>
      </c>
    </row>
    <row r="35" spans="1:2">
      <c r="A35">
        <v>3.2</v>
      </c>
      <c r="B35">
        <f t="shared" si="5"/>
        <v>24.532530197109352</v>
      </c>
    </row>
    <row r="36" spans="1:2">
      <c r="A36">
        <v>3.3</v>
      </c>
      <c r="B36">
        <f t="shared" si="5"/>
        <v>27.112638920657883</v>
      </c>
    </row>
    <row r="37" spans="1:2">
      <c r="A37">
        <v>3.4</v>
      </c>
      <c r="B37">
        <f t="shared" si="5"/>
        <v>29.964100047397011</v>
      </c>
    </row>
    <row r="38" spans="1:2">
      <c r="A38">
        <v>3.5</v>
      </c>
      <c r="B38">
        <f t="shared" si="5"/>
        <v>33.115451958692312</v>
      </c>
    </row>
    <row r="39" spans="1:2">
      <c r="A39">
        <v>3.6</v>
      </c>
      <c r="B39">
        <f t="shared" si="5"/>
        <v>36.598234443677988</v>
      </c>
    </row>
    <row r="40" spans="1:2">
      <c r="A40">
        <v>3.7</v>
      </c>
      <c r="B40">
        <f t="shared" si="5"/>
        <v>40.447304360067399</v>
      </c>
    </row>
    <row r="41" spans="1:2">
      <c r="A41">
        <v>3.8</v>
      </c>
      <c r="B41">
        <f t="shared" si="5"/>
        <v>44.701184493300815</v>
      </c>
    </row>
    <row r="42" spans="1:2">
      <c r="A42">
        <v>3.9</v>
      </c>
      <c r="B42">
        <f t="shared" si="5"/>
        <v>49.402449105530167</v>
      </c>
    </row>
    <row r="43" spans="1:2">
      <c r="A43">
        <v>4</v>
      </c>
      <c r="B43">
        <f t="shared" si="5"/>
        <v>54.598150033144236</v>
      </c>
    </row>
    <row r="44" spans="1:2">
      <c r="A44">
        <v>4.0999999999999996</v>
      </c>
      <c r="B44">
        <f t="shared" si="5"/>
        <v>60.34028759736195</v>
      </c>
    </row>
    <row r="45" spans="1:2">
      <c r="A45">
        <v>4.2</v>
      </c>
      <c r="B45">
        <f t="shared" si="5"/>
        <v>66.686331040925154</v>
      </c>
    </row>
    <row r="46" spans="1:2">
      <c r="A46">
        <v>4.3</v>
      </c>
      <c r="B46">
        <f t="shared" si="5"/>
        <v>73.699793699595787</v>
      </c>
    </row>
    <row r="47" spans="1:2">
      <c r="A47">
        <v>4.4000000000000004</v>
      </c>
      <c r="B47">
        <f t="shared" si="5"/>
        <v>81.450868664968141</v>
      </c>
    </row>
    <row r="48" spans="1:2">
      <c r="A48">
        <v>4.5</v>
      </c>
      <c r="B48">
        <f t="shared" si="5"/>
        <v>90.017131300521811</v>
      </c>
    </row>
    <row r="49" spans="1:2">
      <c r="A49">
        <v>4.5999999999999996</v>
      </c>
      <c r="B49">
        <f t="shared" si="5"/>
        <v>99.484315641933776</v>
      </c>
    </row>
    <row r="50" spans="1:2">
      <c r="A50">
        <v>4.7</v>
      </c>
      <c r="B50">
        <f t="shared" si="5"/>
        <v>109.94717245212352</v>
      </c>
    </row>
    <row r="51" spans="1:2">
      <c r="A51">
        <v>4.8</v>
      </c>
      <c r="B51">
        <f t="shared" si="5"/>
        <v>121.51041751873485</v>
      </c>
    </row>
    <row r="52" spans="1:2">
      <c r="A52">
        <v>4.9000000000000004</v>
      </c>
      <c r="B52">
        <f t="shared" si="5"/>
        <v>134.28977968493552</v>
      </c>
    </row>
    <row r="53" spans="1:2">
      <c r="A53">
        <v>5</v>
      </c>
      <c r="B53">
        <f t="shared" si="5"/>
        <v>148.4131591025766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6C03-1653-420E-A9DC-773CDBA8B015}">
  <dimension ref="A1:J53"/>
  <sheetViews>
    <sheetView zoomScale="74" workbookViewId="0">
      <selection activeCell="Q12" sqref="Q12"/>
    </sheetView>
  </sheetViews>
  <sheetFormatPr defaultRowHeight="17.649999999999999"/>
  <sheetData>
    <row r="1" spans="1:10">
      <c r="E1" t="s">
        <v>3</v>
      </c>
      <c r="F1" t="s">
        <v>3</v>
      </c>
      <c r="G1" t="s">
        <v>3</v>
      </c>
    </row>
    <row r="2" spans="1:10">
      <c r="A2" t="s">
        <v>1</v>
      </c>
      <c r="B2" t="s">
        <v>0</v>
      </c>
      <c r="D2" t="s">
        <v>2</v>
      </c>
      <c r="E2" t="s">
        <v>7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</row>
    <row r="3" spans="1:10">
      <c r="A3">
        <v>0</v>
      </c>
      <c r="B3">
        <f>EXP(A3)</f>
        <v>1</v>
      </c>
      <c r="D3">
        <v>1</v>
      </c>
      <c r="E3">
        <f>0.4*ABS(SIN(2*PI()*D3/24))</f>
        <v>0.1035276180410083</v>
      </c>
      <c r="F3">
        <f>0.4*ABS(SIN(2*PI()*D3/24-PI()/12))</f>
        <v>0</v>
      </c>
      <c r="G3">
        <f>0.4*ABS(SIN(2*PI()*D3/24-PI()/6))</f>
        <v>0.1035276180410083</v>
      </c>
      <c r="H3">
        <f>0.4*ABS(SIN(2*PI()*D3/24-PI()/2))</f>
        <v>0.38637033051562736</v>
      </c>
      <c r="I3">
        <f>0.4*ABS(SIN(2*PI()*D3/24+5*PI()/12))</f>
        <v>0.4</v>
      </c>
      <c r="J3">
        <f>0.4*ABS(SIN(2*PI()*D3/24-3*PI()/2))</f>
        <v>0.38637033051562736</v>
      </c>
    </row>
    <row r="4" spans="1:10">
      <c r="A4">
        <v>0.1</v>
      </c>
      <c r="B4">
        <f>EXP(-A4)</f>
        <v>0.90483741803595952</v>
      </c>
      <c r="D4">
        <v>2</v>
      </c>
      <c r="E4">
        <f t="shared" ref="E4:E14" si="0">0.4*ABS(SIN(2*PI()*D4/24))</f>
        <v>0.19999999999999998</v>
      </c>
      <c r="F4">
        <f t="shared" ref="F4:F14" si="1">0.4*ABS(SIN(2*PI()*D4/24-PI()/12))</f>
        <v>0.1035276180410083</v>
      </c>
      <c r="G4">
        <f t="shared" ref="G4:G14" si="2">0.4*ABS(SIN(2*PI()*D4/24-PI()/6))</f>
        <v>0</v>
      </c>
      <c r="H4">
        <f t="shared" ref="H4:H14" si="3">0.4*ABS(SIN(2*PI()*D4/24-PI()/2))</f>
        <v>0.34641016151377552</v>
      </c>
      <c r="I4">
        <f t="shared" ref="I4:I14" si="4">0.4*ABS(SIN(2*PI()*D4/24+5*PI()/12))</f>
        <v>0.38637033051562736</v>
      </c>
      <c r="J4">
        <f t="shared" ref="J4:J14" si="5">0.4*ABS(SIN(2*PI()*D4/24-3*PI()/2))</f>
        <v>0.34641016151377535</v>
      </c>
    </row>
    <row r="5" spans="1:10">
      <c r="A5">
        <v>0.2</v>
      </c>
      <c r="B5">
        <f t="shared" ref="B5:B53" si="6">EXP(A5)</f>
        <v>1.2214027581601699</v>
      </c>
      <c r="D5">
        <v>3</v>
      </c>
      <c r="E5">
        <f t="shared" si="0"/>
        <v>0.28284271247461901</v>
      </c>
      <c r="F5">
        <f t="shared" si="1"/>
        <v>0.2</v>
      </c>
      <c r="G5">
        <f t="shared" si="2"/>
        <v>0.10352761804100832</v>
      </c>
      <c r="H5">
        <f t="shared" si="3"/>
        <v>0.28284271247461901</v>
      </c>
      <c r="I5">
        <f t="shared" si="4"/>
        <v>0.34641016151377541</v>
      </c>
      <c r="J5">
        <f t="shared" si="5"/>
        <v>0.28284271247461901</v>
      </c>
    </row>
    <row r="6" spans="1:10">
      <c r="A6">
        <v>0.3</v>
      </c>
      <c r="B6">
        <f t="shared" si="6"/>
        <v>1.3498588075760032</v>
      </c>
      <c r="D6">
        <v>4</v>
      </c>
      <c r="E6">
        <f t="shared" si="0"/>
        <v>0.34641016151377546</v>
      </c>
      <c r="F6">
        <f t="shared" si="1"/>
        <v>0.28284271247461901</v>
      </c>
      <c r="G6">
        <f t="shared" si="2"/>
        <v>0.19999999999999998</v>
      </c>
      <c r="H6">
        <f t="shared" si="3"/>
        <v>0.2</v>
      </c>
      <c r="I6">
        <f t="shared" si="4"/>
        <v>0.28284271247461906</v>
      </c>
      <c r="J6">
        <f t="shared" si="5"/>
        <v>0.20000000000000007</v>
      </c>
    </row>
    <row r="7" spans="1:10">
      <c r="A7">
        <v>0.4</v>
      </c>
      <c r="B7">
        <f t="shared" si="6"/>
        <v>1.4918246976412703</v>
      </c>
      <c r="D7">
        <v>5</v>
      </c>
      <c r="E7">
        <f t="shared" si="0"/>
        <v>0.38637033051562736</v>
      </c>
      <c r="F7">
        <f t="shared" si="1"/>
        <v>0.34641016151377552</v>
      </c>
      <c r="G7">
        <f t="shared" si="2"/>
        <v>0.28284271247461906</v>
      </c>
      <c r="H7">
        <f t="shared" si="3"/>
        <v>0.10352761804100828</v>
      </c>
      <c r="I7">
        <f t="shared" si="4"/>
        <v>0.19999999999999998</v>
      </c>
      <c r="J7">
        <f t="shared" si="5"/>
        <v>0.10352761804100814</v>
      </c>
    </row>
    <row r="8" spans="1:10">
      <c r="A8">
        <v>0.5</v>
      </c>
      <c r="B8">
        <f t="shared" si="6"/>
        <v>1.6487212707001282</v>
      </c>
      <c r="D8">
        <v>6</v>
      </c>
      <c r="E8">
        <f t="shared" si="0"/>
        <v>0.4</v>
      </c>
      <c r="F8">
        <f t="shared" si="1"/>
        <v>0.38637033051562736</v>
      </c>
      <c r="G8">
        <f t="shared" si="2"/>
        <v>0.34641016151377552</v>
      </c>
      <c r="H8">
        <f t="shared" si="3"/>
        <v>0</v>
      </c>
      <c r="I8">
        <f t="shared" si="4"/>
        <v>0.10352761804100824</v>
      </c>
      <c r="J8">
        <f t="shared" si="5"/>
        <v>4.90059381963448E-17</v>
      </c>
    </row>
    <row r="9" spans="1:10">
      <c r="A9">
        <v>0.6</v>
      </c>
      <c r="B9">
        <f t="shared" si="6"/>
        <v>1.8221188003905089</v>
      </c>
      <c r="D9">
        <v>7</v>
      </c>
      <c r="E9">
        <f t="shared" si="0"/>
        <v>0.38637033051562736</v>
      </c>
      <c r="F9">
        <f t="shared" si="1"/>
        <v>0.4</v>
      </c>
      <c r="G9">
        <f t="shared" si="2"/>
        <v>0.3863703305156273</v>
      </c>
      <c r="H9">
        <f t="shared" si="3"/>
        <v>0.10352761804100828</v>
      </c>
      <c r="I9">
        <f t="shared" si="4"/>
        <v>4.90059381963448E-17</v>
      </c>
      <c r="J9">
        <f t="shared" si="5"/>
        <v>0.10352761804100824</v>
      </c>
    </row>
    <row r="10" spans="1:10">
      <c r="A10">
        <v>0.7</v>
      </c>
      <c r="B10">
        <f t="shared" si="6"/>
        <v>2.0137527074704766</v>
      </c>
      <c r="D10">
        <v>8</v>
      </c>
      <c r="E10">
        <f t="shared" si="0"/>
        <v>0.34641016151377552</v>
      </c>
      <c r="F10">
        <f t="shared" si="1"/>
        <v>0.38637033051562736</v>
      </c>
      <c r="G10">
        <f t="shared" si="2"/>
        <v>0.4</v>
      </c>
      <c r="H10">
        <f t="shared" si="3"/>
        <v>0.19999999999999996</v>
      </c>
      <c r="I10">
        <f t="shared" si="4"/>
        <v>0.10352761804100814</v>
      </c>
      <c r="J10">
        <f t="shared" si="5"/>
        <v>0.19999999999999998</v>
      </c>
    </row>
    <row r="11" spans="1:10">
      <c r="A11">
        <v>0.8</v>
      </c>
      <c r="B11">
        <f t="shared" si="6"/>
        <v>2.2255409284924679</v>
      </c>
      <c r="D11">
        <v>9</v>
      </c>
      <c r="E11">
        <f t="shared" si="0"/>
        <v>0.28284271247461906</v>
      </c>
      <c r="F11">
        <f t="shared" si="1"/>
        <v>0.34641016151377552</v>
      </c>
      <c r="G11">
        <f t="shared" si="2"/>
        <v>0.38637033051562736</v>
      </c>
      <c r="H11">
        <f t="shared" si="3"/>
        <v>0.28284271247461901</v>
      </c>
      <c r="I11">
        <f t="shared" si="4"/>
        <v>0.20000000000000007</v>
      </c>
      <c r="J11">
        <f t="shared" si="5"/>
        <v>0.28284271247461906</v>
      </c>
    </row>
    <row r="12" spans="1:10">
      <c r="A12">
        <v>0.9</v>
      </c>
      <c r="B12">
        <f t="shared" si="6"/>
        <v>2.4596031111569499</v>
      </c>
      <c r="D12">
        <v>10</v>
      </c>
      <c r="E12">
        <f t="shared" si="0"/>
        <v>0.19999999999999998</v>
      </c>
      <c r="F12">
        <f t="shared" si="1"/>
        <v>0.28284271247461906</v>
      </c>
      <c r="G12">
        <f t="shared" si="2"/>
        <v>0.34641016151377541</v>
      </c>
      <c r="H12">
        <f t="shared" si="3"/>
        <v>0.34641016151377552</v>
      </c>
      <c r="I12">
        <f t="shared" si="4"/>
        <v>0.28284271247461901</v>
      </c>
      <c r="J12">
        <f t="shared" si="5"/>
        <v>0.34641016151377552</v>
      </c>
    </row>
    <row r="13" spans="1:10">
      <c r="A13">
        <v>1</v>
      </c>
      <c r="B13">
        <f t="shared" si="6"/>
        <v>2.7182818284590451</v>
      </c>
      <c r="D13">
        <v>11</v>
      </c>
      <c r="E13">
        <f t="shared" si="0"/>
        <v>0.10352761804100841</v>
      </c>
      <c r="F13">
        <f t="shared" si="1"/>
        <v>0.20000000000000015</v>
      </c>
      <c r="G13">
        <f t="shared" si="2"/>
        <v>0.28284271247461906</v>
      </c>
      <c r="H13">
        <f t="shared" si="3"/>
        <v>0.3863703305156273</v>
      </c>
      <c r="I13">
        <f t="shared" si="4"/>
        <v>0.34641016151377535</v>
      </c>
      <c r="J13">
        <f t="shared" si="5"/>
        <v>0.38637033051562736</v>
      </c>
    </row>
    <row r="14" spans="1:10">
      <c r="A14">
        <v>1.1000000000000001</v>
      </c>
      <c r="B14">
        <f t="shared" si="6"/>
        <v>3.0041660239464334</v>
      </c>
      <c r="D14">
        <v>12</v>
      </c>
      <c r="E14">
        <f t="shared" si="0"/>
        <v>4.90059381963448E-17</v>
      </c>
      <c r="F14">
        <f t="shared" si="1"/>
        <v>0.10352761804100841</v>
      </c>
      <c r="G14">
        <f t="shared" si="2"/>
        <v>0.19999999999999998</v>
      </c>
      <c r="H14">
        <f t="shared" si="3"/>
        <v>0.4</v>
      </c>
      <c r="I14">
        <f t="shared" si="4"/>
        <v>0.38637033051562736</v>
      </c>
      <c r="J14">
        <f t="shared" si="5"/>
        <v>0.4</v>
      </c>
    </row>
    <row r="15" spans="1:10">
      <c r="A15">
        <v>1.2</v>
      </c>
      <c r="B15">
        <f t="shared" si="6"/>
        <v>3.3201169227365472</v>
      </c>
    </row>
    <row r="16" spans="1:10">
      <c r="A16">
        <v>1.3</v>
      </c>
      <c r="B16">
        <f t="shared" si="6"/>
        <v>3.6692966676192444</v>
      </c>
    </row>
    <row r="17" spans="1:2">
      <c r="A17">
        <v>1.4</v>
      </c>
      <c r="B17">
        <f t="shared" si="6"/>
        <v>4.0551999668446745</v>
      </c>
    </row>
    <row r="18" spans="1:2">
      <c r="A18">
        <v>1.5</v>
      </c>
      <c r="B18">
        <f t="shared" si="6"/>
        <v>4.4816890703380645</v>
      </c>
    </row>
    <row r="19" spans="1:2">
      <c r="A19">
        <v>1.6</v>
      </c>
      <c r="B19">
        <f t="shared" si="6"/>
        <v>4.9530324243951149</v>
      </c>
    </row>
    <row r="20" spans="1:2">
      <c r="A20">
        <v>1.7</v>
      </c>
      <c r="B20">
        <f t="shared" si="6"/>
        <v>5.4739473917271999</v>
      </c>
    </row>
    <row r="21" spans="1:2">
      <c r="A21">
        <v>1.8</v>
      </c>
      <c r="B21">
        <f t="shared" si="6"/>
        <v>6.0496474644129465</v>
      </c>
    </row>
    <row r="22" spans="1:2">
      <c r="A22">
        <v>1.9</v>
      </c>
      <c r="B22">
        <f t="shared" si="6"/>
        <v>6.6858944422792685</v>
      </c>
    </row>
    <row r="23" spans="1:2">
      <c r="A23">
        <v>2</v>
      </c>
      <c r="B23">
        <f t="shared" si="6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6"/>
        <v>9.025013499434122</v>
      </c>
    </row>
    <row r="26" spans="1:2">
      <c r="A26">
        <v>2.2999999999999998</v>
      </c>
      <c r="B26">
        <f t="shared" si="6"/>
        <v>9.9741824548147182</v>
      </c>
    </row>
    <row r="27" spans="1:2">
      <c r="A27">
        <v>2.4</v>
      </c>
      <c r="B27">
        <f t="shared" si="6"/>
        <v>11.023176380641601</v>
      </c>
    </row>
    <row r="28" spans="1:2">
      <c r="A28">
        <v>2.5</v>
      </c>
      <c r="B28">
        <f t="shared" si="6"/>
        <v>12.182493960703473</v>
      </c>
    </row>
    <row r="29" spans="1:2">
      <c r="A29">
        <v>2.6</v>
      </c>
      <c r="B29">
        <f t="shared" si="6"/>
        <v>13.463738035001692</v>
      </c>
    </row>
    <row r="30" spans="1:2">
      <c r="A30">
        <v>2.7</v>
      </c>
      <c r="B30">
        <f t="shared" si="6"/>
        <v>14.879731724872837</v>
      </c>
    </row>
    <row r="31" spans="1:2">
      <c r="A31">
        <v>2.8</v>
      </c>
      <c r="B31">
        <f t="shared" si="6"/>
        <v>16.444646771097048</v>
      </c>
    </row>
    <row r="32" spans="1:2">
      <c r="A32">
        <v>2.9</v>
      </c>
      <c r="B32">
        <f t="shared" si="6"/>
        <v>18.17414536944306</v>
      </c>
    </row>
    <row r="33" spans="1:2">
      <c r="A33">
        <v>3</v>
      </c>
      <c r="B33">
        <f t="shared" si="6"/>
        <v>20.085536923187668</v>
      </c>
    </row>
    <row r="34" spans="1:2">
      <c r="A34">
        <v>3.1</v>
      </c>
      <c r="B34">
        <f t="shared" si="6"/>
        <v>22.197951281441636</v>
      </c>
    </row>
    <row r="35" spans="1:2">
      <c r="A35">
        <v>3.2</v>
      </c>
      <c r="B35">
        <f t="shared" si="6"/>
        <v>24.532530197109352</v>
      </c>
    </row>
    <row r="36" spans="1:2">
      <c r="A36">
        <v>3.3</v>
      </c>
      <c r="B36">
        <f t="shared" si="6"/>
        <v>27.112638920657883</v>
      </c>
    </row>
    <row r="37" spans="1:2">
      <c r="A37">
        <v>3.4</v>
      </c>
      <c r="B37">
        <f t="shared" si="6"/>
        <v>29.964100047397011</v>
      </c>
    </row>
    <row r="38" spans="1:2">
      <c r="A38">
        <v>3.5</v>
      </c>
      <c r="B38">
        <f t="shared" si="6"/>
        <v>33.115451958692312</v>
      </c>
    </row>
    <row r="39" spans="1:2">
      <c r="A39">
        <v>3.6</v>
      </c>
      <c r="B39">
        <f t="shared" si="6"/>
        <v>36.598234443677988</v>
      </c>
    </row>
    <row r="40" spans="1:2">
      <c r="A40">
        <v>3.7</v>
      </c>
      <c r="B40">
        <f t="shared" si="6"/>
        <v>40.447304360067399</v>
      </c>
    </row>
    <row r="41" spans="1:2">
      <c r="A41">
        <v>3.8</v>
      </c>
      <c r="B41">
        <f t="shared" si="6"/>
        <v>44.701184493300815</v>
      </c>
    </row>
    <row r="42" spans="1:2">
      <c r="A42">
        <v>3.9</v>
      </c>
      <c r="B42">
        <f t="shared" si="6"/>
        <v>49.402449105530167</v>
      </c>
    </row>
    <row r="43" spans="1:2">
      <c r="A43">
        <v>4</v>
      </c>
      <c r="B43">
        <f t="shared" si="6"/>
        <v>54.598150033144236</v>
      </c>
    </row>
    <row r="44" spans="1:2">
      <c r="A44">
        <v>4.0999999999999996</v>
      </c>
      <c r="B44">
        <f t="shared" si="6"/>
        <v>60.34028759736195</v>
      </c>
    </row>
    <row r="45" spans="1:2">
      <c r="A45">
        <v>4.2</v>
      </c>
      <c r="B45">
        <f t="shared" si="6"/>
        <v>66.686331040925154</v>
      </c>
    </row>
    <row r="46" spans="1:2">
      <c r="A46">
        <v>4.3</v>
      </c>
      <c r="B46">
        <f t="shared" si="6"/>
        <v>73.699793699595787</v>
      </c>
    </row>
    <row r="47" spans="1:2">
      <c r="A47">
        <v>4.4000000000000004</v>
      </c>
      <c r="B47">
        <f t="shared" si="6"/>
        <v>81.450868664968141</v>
      </c>
    </row>
    <row r="48" spans="1:2">
      <c r="A48">
        <v>4.5</v>
      </c>
      <c r="B48">
        <f t="shared" si="6"/>
        <v>90.017131300521811</v>
      </c>
    </row>
    <row r="49" spans="1:2">
      <c r="A49">
        <v>4.5999999999999996</v>
      </c>
      <c r="B49">
        <f t="shared" si="6"/>
        <v>99.484315641933776</v>
      </c>
    </row>
    <row r="50" spans="1:2">
      <c r="A50">
        <v>4.7</v>
      </c>
      <c r="B50">
        <f t="shared" si="6"/>
        <v>109.94717245212352</v>
      </c>
    </row>
    <row r="51" spans="1:2">
      <c r="A51">
        <v>4.8</v>
      </c>
      <c r="B51">
        <f t="shared" si="6"/>
        <v>121.51041751873485</v>
      </c>
    </row>
    <row r="52" spans="1:2">
      <c r="A52">
        <v>4.9000000000000004</v>
      </c>
      <c r="B52">
        <f t="shared" si="6"/>
        <v>134.28977968493552</v>
      </c>
    </row>
    <row r="53" spans="1:2">
      <c r="A53">
        <v>5</v>
      </c>
      <c r="B53">
        <f t="shared" si="6"/>
        <v>148.4131591025766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SIN</vt:lpstr>
      <vt:lpstr>ABSSIN</vt:lpstr>
      <vt:lpstr>ABSSIN_2PEAKS</vt:lpstr>
      <vt:lpstr>ABSSIN_1PEAK</vt:lpstr>
      <vt:lpstr>AFT</vt:lpstr>
      <vt:lpstr>AFT_2PEAKS</vt:lpstr>
      <vt:lpstr>AFT_1PEAK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SoFukuhara</dc:creator>
  <cp:lastModifiedBy>福原　颯(s24d164)</cp:lastModifiedBy>
  <dcterms:created xsi:type="dcterms:W3CDTF">2015-06-05T18:19:34Z</dcterms:created>
  <dcterms:modified xsi:type="dcterms:W3CDTF">2025-10-21T11:30:49Z</dcterms:modified>
</cp:coreProperties>
</file>